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데이터 api\"/>
    </mc:Choice>
  </mc:AlternateContent>
  <xr:revisionPtr revIDLastSave="0" documentId="13_ncr:1_{259ECCA0-E134-4C00-9C48-6680BAD64D45}" xr6:coauthVersionLast="47" xr6:coauthVersionMax="47" xr10:uidLastSave="{00000000-0000-0000-0000-000000000000}"/>
  <bookViews>
    <workbookView minimized="1" xWindow="-20220" yWindow="192" windowWidth="14400" windowHeight="7356" xr2:uid="{DB945FAA-2942-449E-A8CF-CCAFCDD80093}"/>
  </bookViews>
  <sheets>
    <sheet name="Market Dat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29" i="2"/>
  <c r="V21" i="2"/>
  <c r="U22" i="2"/>
  <c r="T23" i="2"/>
  <c r="R20" i="2"/>
  <c r="Q23" i="2"/>
  <c r="T14" i="2"/>
  <c r="S14" i="2"/>
  <c r="S13" i="2"/>
  <c r="Q8" i="2"/>
  <c r="R8" i="2"/>
  <c r="S8" i="2"/>
  <c r="T8" i="2"/>
  <c r="U8" i="2"/>
  <c r="P8" i="2"/>
  <c r="R13" i="2"/>
  <c r="R14" i="2"/>
  <c r="R12" i="2"/>
  <c r="Q12" i="2"/>
  <c r="Q13" i="2"/>
  <c r="Q14" i="2"/>
  <c r="Q11" i="2"/>
  <c r="P11" i="2"/>
  <c r="P12" i="2"/>
  <c r="P13" i="2"/>
  <c r="P14" i="2"/>
  <c r="P10" i="2"/>
  <c r="O10" i="2"/>
  <c r="O11" i="2"/>
  <c r="O12" i="2"/>
  <c r="O13" i="2"/>
  <c r="O14" i="2"/>
  <c r="O9" i="2"/>
  <c r="N9" i="2"/>
  <c r="N10" i="2"/>
  <c r="N11" i="2"/>
  <c r="N12" i="2"/>
  <c r="N13" i="2"/>
  <c r="N14" i="2"/>
  <c r="N8" i="2"/>
  <c r="V70" i="2"/>
  <c r="R70" i="2"/>
  <c r="V69" i="2"/>
  <c r="T69" i="2"/>
  <c r="R69" i="2"/>
  <c r="V68" i="2"/>
  <c r="T68" i="2"/>
  <c r="R68" i="2"/>
  <c r="V67" i="2"/>
  <c r="T67" i="2"/>
  <c r="R67" i="2"/>
  <c r="V66" i="2"/>
  <c r="T66" i="2"/>
  <c r="R66" i="2"/>
  <c r="V65" i="2"/>
  <c r="T65" i="2"/>
  <c r="R65" i="2"/>
  <c r="V64" i="2"/>
  <c r="T64" i="2"/>
  <c r="R64" i="2"/>
  <c r="V63" i="2"/>
  <c r="T63" i="2"/>
  <c r="R63" i="2"/>
  <c r="V62" i="2"/>
  <c r="T62" i="2"/>
  <c r="R62" i="2"/>
  <c r="V61" i="2"/>
  <c r="T61" i="2"/>
  <c r="R61" i="2"/>
  <c r="V60" i="2"/>
  <c r="T60" i="2"/>
  <c r="R60" i="2"/>
  <c r="V59" i="2"/>
  <c r="T59" i="2"/>
  <c r="R59" i="2"/>
  <c r="V58" i="2"/>
  <c r="T58" i="2"/>
  <c r="R58" i="2"/>
  <c r="V57" i="2"/>
  <c r="T57" i="2"/>
  <c r="R57" i="2"/>
  <c r="V56" i="2"/>
  <c r="T56" i="2"/>
  <c r="R56" i="2"/>
  <c r="V55" i="2"/>
  <c r="T55" i="2"/>
  <c r="R55" i="2"/>
  <c r="V54" i="2"/>
  <c r="T54" i="2"/>
  <c r="R54" i="2"/>
  <c r="V53" i="2"/>
  <c r="T53" i="2"/>
  <c r="R53" i="2"/>
  <c r="V52" i="2"/>
  <c r="T52" i="2"/>
  <c r="R52" i="2"/>
  <c r="V51" i="2"/>
  <c r="T51" i="2"/>
  <c r="R51" i="2"/>
  <c r="V50" i="2"/>
  <c r="T50" i="2"/>
  <c r="R50" i="2"/>
  <c r="V49" i="2"/>
  <c r="T49" i="2"/>
  <c r="R49" i="2"/>
  <c r="V48" i="2"/>
  <c r="T48" i="2"/>
  <c r="R48" i="2"/>
  <c r="V47" i="2"/>
  <c r="T47" i="2"/>
  <c r="R47" i="2"/>
  <c r="V46" i="2"/>
  <c r="T46" i="2"/>
  <c r="R46" i="2"/>
  <c r="V45" i="2"/>
  <c r="T45" i="2"/>
  <c r="R45" i="2"/>
  <c r="V44" i="2"/>
  <c r="T44" i="2"/>
  <c r="R44" i="2"/>
  <c r="V43" i="2"/>
  <c r="T43" i="2"/>
  <c r="R43" i="2"/>
  <c r="V42" i="2"/>
  <c r="T42" i="2"/>
  <c r="R42" i="2"/>
  <c r="V41" i="2"/>
  <c r="T41" i="2"/>
  <c r="R41" i="2"/>
  <c r="V40" i="2"/>
  <c r="T40" i="2"/>
  <c r="R40" i="2"/>
  <c r="V39" i="2"/>
  <c r="T39" i="2"/>
  <c r="R39" i="2"/>
  <c r="V38" i="2"/>
  <c r="T38" i="2"/>
  <c r="R38" i="2"/>
  <c r="V37" i="2"/>
  <c r="T37" i="2"/>
  <c r="R37" i="2"/>
  <c r="V36" i="2"/>
  <c r="T36" i="2"/>
  <c r="R36" i="2"/>
  <c r="V35" i="2"/>
  <c r="T35" i="2"/>
  <c r="R35" i="2"/>
  <c r="V34" i="2"/>
  <c r="T34" i="2"/>
  <c r="R34" i="2"/>
  <c r="V33" i="2"/>
  <c r="T33" i="2"/>
  <c r="R33" i="2"/>
  <c r="V32" i="2"/>
  <c r="T32" i="2"/>
  <c r="R32" i="2"/>
  <c r="V31" i="2"/>
  <c r="T31" i="2"/>
  <c r="R31" i="2"/>
  <c r="V30" i="2"/>
  <c r="T30" i="2"/>
  <c r="R30" i="2"/>
  <c r="V29" i="2"/>
  <c r="T29" i="2"/>
  <c r="R29" i="2"/>
  <c r="U13" i="2"/>
  <c r="U12" i="2"/>
  <c r="T12" i="2"/>
  <c r="U11" i="2"/>
  <c r="T11" i="2"/>
  <c r="S11" i="2"/>
  <c r="U10" i="2"/>
  <c r="T10" i="2"/>
  <c r="S10" i="2"/>
  <c r="R10" i="2"/>
  <c r="U9" i="2"/>
  <c r="T9" i="2"/>
  <c r="S9" i="2"/>
  <c r="R9" i="2"/>
  <c r="Q9" i="2"/>
</calcChain>
</file>

<file path=xl/sharedStrings.xml><?xml version="1.0" encoding="utf-8"?>
<sst xmlns="http://schemas.openxmlformats.org/spreadsheetml/2006/main" count="123" uniqueCount="47">
  <si>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</si>
  <si>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</si>
  <si>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</si>
  <si>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</si>
  <si>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</si>
  <si>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</si>
  <si>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</si>
  <si>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</si>
  <si>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</si>
  <si>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Correlation</t>
    <phoneticPr fontId="3" type="noConversion"/>
  </si>
  <si>
    <t>KOSPI200</t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</si>
  <si>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</si>
  <si>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</si>
  <si>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</si>
  <si>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</si>
  <si>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</si>
  <si>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</si>
  <si>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</si>
  <si>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</si>
  <si>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FXKRWUSD</t>
    <phoneticPr fontId="3" type="noConversion"/>
  </si>
  <si>
    <t>FXKRWJPY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</si>
  <si>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</si>
  <si>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</si>
  <si>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</si>
  <si>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</si>
  <si>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</si>
  <si>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Tenor</t>
    <phoneticPr fontId="3" type="noConversion"/>
  </si>
  <si>
    <t>Rate</t>
    <phoneticPr fontId="3" type="noConversion"/>
  </si>
  <si>
    <t>Dividend</t>
    <phoneticPr fontId="3" type="noConversion"/>
  </si>
  <si>
    <t>KOSPI200</t>
    <phoneticPr fontId="3" type="noConversion"/>
  </si>
  <si>
    <t>Date</t>
    <phoneticPr fontId="3" type="noConversion"/>
  </si>
  <si>
    <t>Value</t>
    <phoneticPr fontId="3" type="noConversion"/>
  </si>
  <si>
    <t>KR7035420009</t>
    <phoneticPr fontId="2" type="noConversion"/>
  </si>
  <si>
    <t>ClosePrices</t>
    <phoneticPr fontId="3" type="noConversion"/>
  </si>
  <si>
    <t>FXKRWJPY</t>
    <phoneticPr fontId="2" type="noConversion"/>
  </si>
  <si>
    <t>KRWIRSZ</t>
    <phoneticPr fontId="3" type="noConversion"/>
  </si>
  <si>
    <t>USDIRSZ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</si>
  <si>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</si>
  <si>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</si>
  <si>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</si>
  <si>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N225</t>
    <phoneticPr fontId="3" type="noConversion"/>
  </si>
  <si>
    <t>HSCEI</t>
    <phoneticPr fontId="2" type="noConversion"/>
  </si>
  <si>
    <t>KOSPI200</t>
    <phoneticPr fontId="2" type="noConversion"/>
  </si>
  <si>
    <t>M4</t>
    <phoneticPr fontId="2" type="noConversion"/>
  </si>
  <si>
    <t>Starting point</t>
    <phoneticPr fontId="2" type="noConversion"/>
  </si>
  <si>
    <t>TEST_6</t>
    <phoneticPr fontId="3" type="noConversion"/>
  </si>
  <si>
    <t>ClosePrice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</si>
</sst>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1" fillId="2" borderId="1" xfId="1" applyFill="1" applyBorder="1" applyAlignment="1">
      <alignment horizontal="center" vertical="center"/>
    </xf>
    <xf numFmtId="0" fontId="1" fillId="0" borderId="0" xfId="1" applyAlignment="1">
      <alignment vertical="center"/>
    </xf>
    <xf numFmtId="14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3" borderId="1" xfId="1" applyFill="1" applyBorder="1" applyAlignment="1">
      <alignment vertical="center"/>
    </xf>
    <xf numFmtId="0" fontId="1" fillId="0" borderId="1" xfId="1" applyBorder="1" applyAlignment="1">
      <alignment vertical="center"/>
    </xf>
    <xf numFmtId="0" fontId="1" fillId="4" borderId="1" xfId="1" applyFill="1" applyBorder="1" applyAlignment="1">
      <alignment vertical="center"/>
    </xf>
    <xf numFmtId="0" fontId="1" fillId="4" borderId="5" xfId="1" applyFill="1" applyBorder="1" applyAlignment="1">
      <alignment vertical="center"/>
    </xf>
    <xf numFmtId="0" fontId="1" fillId="4" borderId="6" xfId="1" applyFill="1" applyBorder="1" applyAlignment="1">
      <alignment vertical="center"/>
    </xf>
    <xf numFmtId="0" fontId="1" fillId="4" borderId="7" xfId="1" applyFill="1" applyBorder="1" applyAlignment="1">
      <alignment vertical="center"/>
    </xf>
    <xf numFmtId="0" fontId="1" fillId="4" borderId="8" xfId="1" applyFill="1" applyBorder="1" applyAlignment="1">
      <alignment vertical="center"/>
    </xf>
    <xf numFmtId="0" fontId="1" fillId="4" borderId="9" xfId="1" applyFill="1" applyBorder="1" applyAlignment="1">
      <alignment vertical="center"/>
    </xf>
    <xf numFmtId="0" fontId="1" fillId="4" borderId="10" xfId="1" applyFill="1" applyBorder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1" fillId="3" borderId="2" xfId="1" applyFill="1" applyBorder="1" applyAlignment="1">
      <alignment horizontal="center" vertical="center"/>
    </xf>
    <xf numFmtId="0" fontId="1" fillId="3" borderId="3" xfId="1" applyFill="1" applyBorder="1" applyAlignment="1">
      <alignment horizontal="center" vertical="center"/>
    </xf>
    <xf numFmtId="0" fontId="1" fillId="3" borderId="1" xfId="1" applyFill="1" applyBorder="1" applyAlignment="1">
      <alignment horizontal="center" vertical="center"/>
    </xf>
  </cellXfs>
  <cellStyles count="2">
    <cellStyle name="표준" xfId="0" builtinId="0"/>
    <cellStyle name="표준 2" xfId="1" xr:uid="{3344DC37-428B-433A-8121-891DA59C65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EF77DE1-F3E2-4508-A6CD-5CEFCB19798C}"/>
            </a:ext>
          </a:extLst>
        </xdr:cNvPr>
        <xdr:cNvSpPr/>
      </xdr:nvSpPr>
      <xdr:spPr>
        <a:xfrm>
          <a:off x="2671445" y="38100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F891299-1A00-4185-8BBC-77A3A6896A84}"/>
            </a:ext>
          </a:extLst>
        </xdr:cNvPr>
        <xdr:cNvSpPr/>
      </xdr:nvSpPr>
      <xdr:spPr>
        <a:xfrm>
          <a:off x="9521825" y="27305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6839A-E851-4264-99B2-41843F13C46C}">
  <sheetPr codeName="Sheet1"/>
  <dimension ref="A1:V130"/>
  <sheetViews>
    <sheetView tabSelected="1" workbookViewId="0">
      <selection activeCell="J11" sqref="J11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44</v>
      </c>
    </row>
    <row r="2" spans="1:21" x14ac:dyDescent="0.45">
      <c r="A2" s="3">
        <v>45288</v>
      </c>
      <c r="O2" s="4" t="s">
        <v>45</v>
      </c>
      <c r="P2" s="2" t="s">
        <v>43</v>
      </c>
    </row>
    <row r="4" spans="1:21" x14ac:dyDescent="0.45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5">
      <c r="A5" s="16" t="s">
        <v>6</v>
      </c>
      <c r="B5" s="16"/>
      <c r="C5" s="16"/>
      <c r="D5" s="16"/>
      <c r="E5" s="16"/>
      <c r="F5" s="16"/>
      <c r="G5" s="16"/>
      <c r="H5" s="16"/>
      <c r="I5" s="16"/>
      <c r="M5" s="16" t="s">
        <v>7</v>
      </c>
      <c r="N5" s="16"/>
      <c r="O5" s="16"/>
      <c r="P5" s="16"/>
      <c r="Q5" s="16"/>
      <c r="R5" s="16"/>
      <c r="S5" s="16"/>
      <c r="T5" s="16"/>
      <c r="U5" s="16"/>
    </row>
    <row r="6" spans="1:21" x14ac:dyDescent="0.45">
      <c r="A6" s="19" t="s">
        <v>8</v>
      </c>
      <c r="B6" s="19" t="s">
        <v>33</v>
      </c>
      <c r="C6" s="21" t="s">
        <v>9</v>
      </c>
      <c r="D6" s="21"/>
      <c r="E6" s="21"/>
      <c r="F6" s="21"/>
      <c r="G6" s="21"/>
      <c r="H6" s="21"/>
      <c r="I6" s="21"/>
      <c r="M6" s="19" t="s">
        <v>8</v>
      </c>
      <c r="N6" s="19" t="s">
        <v>46</v>
      </c>
      <c r="O6" s="21" t="s">
        <v>9</v>
      </c>
      <c r="P6" s="21"/>
      <c r="Q6" s="21"/>
      <c r="R6" s="21"/>
      <c r="S6" s="21"/>
      <c r="T6" s="21"/>
      <c r="U6" s="21"/>
    </row>
    <row r="7" spans="1:21" x14ac:dyDescent="0.45">
      <c r="A7" s="20"/>
      <c r="B7" s="20"/>
      <c r="C7" s="8" t="s">
        <v>32</v>
      </c>
      <c r="D7" s="8" t="s">
        <v>10</v>
      </c>
      <c r="E7" s="8" t="s">
        <v>40</v>
      </c>
      <c r="F7" s="8" t="s">
        <v>41</v>
      </c>
      <c r="G7" s="8" t="s">
        <v>11</v>
      </c>
      <c r="H7" s="8" t="s">
        <v>12</v>
      </c>
      <c r="I7" s="8" t="s">
        <v>13</v>
      </c>
      <c r="M7" s="20"/>
      <c r="N7" s="20"/>
      <c r="O7" s="8" t="s">
        <v>32</v>
      </c>
      <c r="P7" s="8" t="s">
        <v>10</v>
      </c>
      <c r="Q7" s="8" t="s">
        <v>40</v>
      </c>
      <c r="R7" s="8" t="s">
        <v>41</v>
      </c>
      <c r="S7" s="8" t="s">
        <v>11</v>
      </c>
      <c r="T7" s="8" t="s">
        <v>12</v>
      </c>
      <c r="U7" s="8" t="s">
        <v>13</v>
      </c>
    </row>
    <row r="8" spans="1:21" x14ac:dyDescent="0.45">
      <c r="A8" s="8" t="s">
        <v>32</v>
      </c>
      <c r="B8" s="8">
        <v>224000</v>
      </c>
      <c r="C8" s="8">
        <v>1</v>
      </c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32</v>
      </c>
      <c r="N8" s="8">
        <f>B8+0.001</f>
        <v>224000.00099999999</v>
      </c>
      <c r="O8" s="8">
        <v>1</v>
      </c>
      <c r="P8" s="8">
        <f>D8+0.001</f>
        <v>0.59011142630000002</v>
      </c>
      <c r="Q8" s="8">
        <f t="shared" ref="Q8:U8" si="0">E8+0.001</f>
        <v>0.29941844509999999</v>
      </c>
      <c r="R8" s="8">
        <f t="shared" si="0"/>
        <v>0.35765385259999999</v>
      </c>
      <c r="S8" s="8">
        <f t="shared" si="0"/>
        <v>0.3684944141</v>
      </c>
      <c r="T8" s="8">
        <f t="shared" si="0"/>
        <v>0.18898458809999999</v>
      </c>
      <c r="U8" s="8">
        <f t="shared" si="0"/>
        <v>3.6014071600000003E-2</v>
      </c>
    </row>
    <row r="9" spans="1:21" x14ac:dyDescent="0.45">
      <c r="A9" s="8" t="s">
        <v>10</v>
      </c>
      <c r="B9" s="9">
        <v>357.99</v>
      </c>
      <c r="C9" s="8">
        <v>0.58911142630000002</v>
      </c>
      <c r="D9" s="8">
        <v>1</v>
      </c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10</v>
      </c>
      <c r="N9" s="8">
        <f t="shared" ref="N9:N14" si="1">B9+0.001</f>
        <v>357.99099999999999</v>
      </c>
      <c r="O9" s="8">
        <f>C9+0.001</f>
        <v>0.59011142630000002</v>
      </c>
      <c r="P9" s="8">
        <v>1</v>
      </c>
      <c r="Q9" s="8">
        <f t="shared" ref="Q9:U13" si="2">E9+0.001</f>
        <v>0.46476881990000002</v>
      </c>
      <c r="R9" s="8">
        <f t="shared" si="2"/>
        <v>0.54944004410000002</v>
      </c>
      <c r="S9" s="8">
        <f t="shared" si="2"/>
        <v>5.72040771E-2</v>
      </c>
      <c r="T9" s="8">
        <f t="shared" si="2"/>
        <v>0.1782162608</v>
      </c>
      <c r="U9" s="8">
        <f t="shared" si="2"/>
        <v>0.1225504529</v>
      </c>
    </row>
    <row r="10" spans="1:21" x14ac:dyDescent="0.45">
      <c r="A10" s="8" t="s">
        <v>40</v>
      </c>
      <c r="B10" s="9">
        <v>33477.46875</v>
      </c>
      <c r="C10" s="8">
        <v>0.29841844509999998</v>
      </c>
      <c r="D10" s="8">
        <v>0.46376881990000002</v>
      </c>
      <c r="E10" s="8">
        <v>1</v>
      </c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40</v>
      </c>
      <c r="N10" s="8">
        <f t="shared" si="1"/>
        <v>33477.469749999997</v>
      </c>
      <c r="O10" s="8">
        <f t="shared" ref="O10:T14" si="3">C10+0.001</f>
        <v>0.29941844509999999</v>
      </c>
      <c r="P10" s="8">
        <f t="shared" si="3"/>
        <v>0.46476881990000002</v>
      </c>
      <c r="Q10" s="8">
        <v>1</v>
      </c>
      <c r="R10" s="8">
        <f t="shared" si="2"/>
        <v>0.2992972928</v>
      </c>
      <c r="S10" s="8">
        <f t="shared" si="2"/>
        <v>0.31158351099999998</v>
      </c>
      <c r="T10" s="8">
        <f t="shared" si="2"/>
        <v>0.1969438828</v>
      </c>
      <c r="U10" s="8">
        <f t="shared" si="2"/>
        <v>0.52095133599999999</v>
      </c>
    </row>
    <row r="11" spans="1:21" x14ac:dyDescent="0.45">
      <c r="A11" s="8" t="s">
        <v>41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>
        <v>1</v>
      </c>
      <c r="G11" s="9">
        <v>0.98626325550000005</v>
      </c>
      <c r="H11" s="9">
        <v>0.2276820745</v>
      </c>
      <c r="I11" s="9">
        <v>0.14324733119999999</v>
      </c>
      <c r="M11" s="8" t="s">
        <v>41</v>
      </c>
      <c r="N11" s="8">
        <f t="shared" si="1"/>
        <v>5764.7710000000006</v>
      </c>
      <c r="O11" s="8">
        <f t="shared" si="3"/>
        <v>0.35765385259999999</v>
      </c>
      <c r="P11" s="8">
        <f t="shared" si="3"/>
        <v>0.54944004410000002</v>
      </c>
      <c r="Q11" s="8">
        <f t="shared" si="3"/>
        <v>0.2992972928</v>
      </c>
      <c r="R11" s="8">
        <v>1</v>
      </c>
      <c r="S11" s="8">
        <f t="shared" si="2"/>
        <v>0.98726325550000005</v>
      </c>
      <c r="T11" s="8">
        <f t="shared" si="2"/>
        <v>0.2286820745</v>
      </c>
      <c r="U11" s="8">
        <f t="shared" si="2"/>
        <v>0.1442473312</v>
      </c>
    </row>
    <row r="12" spans="1:21" x14ac:dyDescent="0.45">
      <c r="A12" s="8" t="s">
        <v>11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>
        <v>1</v>
      </c>
      <c r="H12" s="9">
        <v>0.21712042870000001</v>
      </c>
      <c r="I12" s="9">
        <v>0.13258238289999999</v>
      </c>
      <c r="M12" s="8" t="s">
        <v>11</v>
      </c>
      <c r="N12" s="8">
        <f t="shared" si="1"/>
        <v>17043.530999999999</v>
      </c>
      <c r="O12" s="8">
        <f t="shared" si="3"/>
        <v>0.3684944141</v>
      </c>
      <c r="P12" s="8">
        <f t="shared" si="3"/>
        <v>5.72040771E-2</v>
      </c>
      <c r="Q12" s="8">
        <f t="shared" si="3"/>
        <v>0.31158351099999998</v>
      </c>
      <c r="R12" s="8">
        <f t="shared" si="3"/>
        <v>0.98726325550000005</v>
      </c>
      <c r="S12" s="8">
        <v>1</v>
      </c>
      <c r="T12" s="8">
        <f t="shared" si="2"/>
        <v>0.21812042870000001</v>
      </c>
      <c r="U12" s="8">
        <f t="shared" si="2"/>
        <v>0.13358238289999999</v>
      </c>
    </row>
    <row r="13" spans="1:21" x14ac:dyDescent="0.45">
      <c r="A13" s="8" t="s">
        <v>12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>
        <v>1</v>
      </c>
      <c r="I13" s="9">
        <v>0.51757146279999999</v>
      </c>
      <c r="M13" s="8" t="s">
        <v>12</v>
      </c>
      <c r="N13" s="8">
        <f t="shared" si="1"/>
        <v>4521.5810000000001</v>
      </c>
      <c r="O13" s="8">
        <f t="shared" si="3"/>
        <v>0.18898458809999999</v>
      </c>
      <c r="P13" s="8">
        <f t="shared" si="3"/>
        <v>0.1782162608</v>
      </c>
      <c r="Q13" s="8">
        <f t="shared" si="3"/>
        <v>0.1969438828</v>
      </c>
      <c r="R13" s="8">
        <f t="shared" si="3"/>
        <v>0.2286820745</v>
      </c>
      <c r="S13" s="8">
        <f t="shared" si="3"/>
        <v>0.21812042870000001</v>
      </c>
      <c r="T13" s="8">
        <v>1</v>
      </c>
      <c r="U13" s="8">
        <f t="shared" si="2"/>
        <v>0.51857146279999999</v>
      </c>
    </row>
    <row r="14" spans="1:21" x14ac:dyDescent="0.45">
      <c r="A14" s="8" t="s">
        <v>13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>
        <v>1</v>
      </c>
      <c r="M14" s="8" t="s">
        <v>13</v>
      </c>
      <c r="N14" s="8">
        <f t="shared" si="1"/>
        <v>4781.5810000000001</v>
      </c>
      <c r="O14" s="8">
        <f t="shared" si="3"/>
        <v>3.6014071600000003E-2</v>
      </c>
      <c r="P14" s="8">
        <f t="shared" si="3"/>
        <v>0.1225504529</v>
      </c>
      <c r="Q14" s="8">
        <f t="shared" si="3"/>
        <v>0.52095133599999999</v>
      </c>
      <c r="R14" s="8">
        <f t="shared" si="3"/>
        <v>0.1442473312</v>
      </c>
      <c r="S14" s="8">
        <f t="shared" si="3"/>
        <v>0.13358238289999999</v>
      </c>
      <c r="T14" s="8">
        <f t="shared" si="3"/>
        <v>0.51857146279999999</v>
      </c>
      <c r="U14" s="8">
        <v>1</v>
      </c>
    </row>
    <row r="16" spans="1:21" x14ac:dyDescent="0.45">
      <c r="A16" s="5" t="s">
        <v>14</v>
      </c>
      <c r="B16" s="6"/>
      <c r="F16" s="6" t="s">
        <v>15</v>
      </c>
      <c r="M16" s="5" t="s">
        <v>14</v>
      </c>
      <c r="N16" s="6"/>
      <c r="T16" s="6" t="s">
        <v>4</v>
      </c>
    </row>
    <row r="17" spans="1:22" x14ac:dyDescent="0.45">
      <c r="A17" s="16" t="s">
        <v>6</v>
      </c>
      <c r="B17" s="16"/>
      <c r="C17" s="16"/>
      <c r="D17" s="16"/>
      <c r="E17" s="16"/>
      <c r="F17" s="16"/>
      <c r="G17" s="16"/>
      <c r="H17" s="16"/>
      <c r="I17" s="16"/>
      <c r="J17" s="16"/>
      <c r="M17" s="16" t="s">
        <v>16</v>
      </c>
      <c r="N17" s="16"/>
      <c r="O17" s="16"/>
      <c r="P17" s="16"/>
      <c r="Q17" s="16"/>
      <c r="R17" s="16"/>
      <c r="S17" s="16"/>
      <c r="T17" s="16"/>
      <c r="U17" s="16"/>
      <c r="V17" s="16"/>
    </row>
    <row r="18" spans="1:22" x14ac:dyDescent="0.45">
      <c r="A18" s="19" t="s">
        <v>8</v>
      </c>
      <c r="B18" s="19" t="s">
        <v>17</v>
      </c>
      <c r="C18" s="19" t="s">
        <v>18</v>
      </c>
      <c r="D18" s="21" t="s">
        <v>9</v>
      </c>
      <c r="E18" s="21"/>
      <c r="F18" s="21"/>
      <c r="G18" s="21"/>
      <c r="H18" s="21"/>
      <c r="I18" s="21"/>
      <c r="J18" s="21"/>
      <c r="M18" s="19" t="s">
        <v>8</v>
      </c>
      <c r="N18" s="19" t="s">
        <v>17</v>
      </c>
      <c r="O18" s="19" t="s">
        <v>18</v>
      </c>
      <c r="P18" s="21" t="s">
        <v>9</v>
      </c>
      <c r="Q18" s="21"/>
      <c r="R18" s="21"/>
      <c r="S18" s="21"/>
      <c r="T18" s="21"/>
      <c r="U18" s="21"/>
      <c r="V18" s="21"/>
    </row>
    <row r="19" spans="1:22" x14ac:dyDescent="0.45">
      <c r="A19" s="20"/>
      <c r="B19" s="20"/>
      <c r="C19" s="20"/>
      <c r="D19" s="8" t="s">
        <v>32</v>
      </c>
      <c r="E19" s="8" t="s">
        <v>41</v>
      </c>
      <c r="F19" s="8" t="s">
        <v>40</v>
      </c>
      <c r="G19" s="8" t="s">
        <v>42</v>
      </c>
      <c r="H19" s="8" t="s">
        <v>11</v>
      </c>
      <c r="I19" s="8" t="s">
        <v>12</v>
      </c>
      <c r="J19" s="8" t="s">
        <v>13</v>
      </c>
      <c r="M19" s="20"/>
      <c r="N19" s="20"/>
      <c r="O19" s="20"/>
      <c r="P19" s="8" t="s">
        <v>32</v>
      </c>
      <c r="Q19" s="8" t="s">
        <v>41</v>
      </c>
      <c r="R19" s="8" t="s">
        <v>40</v>
      </c>
      <c r="S19" s="8" t="s">
        <v>42</v>
      </c>
      <c r="T19" s="8" t="s">
        <v>11</v>
      </c>
      <c r="U19" s="8" t="s">
        <v>12</v>
      </c>
      <c r="V19" s="8" t="s">
        <v>13</v>
      </c>
    </row>
    <row r="20" spans="1:22" x14ac:dyDescent="0.45">
      <c r="A20" s="2" t="s">
        <v>34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20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19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19</v>
      </c>
      <c r="N21" s="8"/>
      <c r="O21" s="8"/>
      <c r="P21" s="8"/>
      <c r="Q21" s="8"/>
      <c r="R21" s="9"/>
      <c r="S21" s="8"/>
      <c r="T21" s="8"/>
      <c r="U21" s="8"/>
      <c r="V21" s="8">
        <f>J21+0.001</f>
        <v>-0.1155690305</v>
      </c>
    </row>
    <row r="22" spans="1:22" x14ac:dyDescent="0.45">
      <c r="A22" s="8" t="s">
        <v>21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21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22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22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23</v>
      </c>
      <c r="B25" s="6" t="s">
        <v>24</v>
      </c>
      <c r="M25" s="5" t="s">
        <v>23</v>
      </c>
      <c r="N25" s="6" t="s">
        <v>25</v>
      </c>
    </row>
    <row r="26" spans="1:22" x14ac:dyDescent="0.45">
      <c r="A26" s="16" t="s">
        <v>6</v>
      </c>
      <c r="B26" s="16"/>
      <c r="C26" s="16"/>
      <c r="D26" s="16"/>
      <c r="E26" s="16"/>
      <c r="F26" s="16"/>
      <c r="G26" s="16"/>
      <c r="H26" s="16"/>
      <c r="I26" s="16"/>
      <c r="J26" s="16"/>
      <c r="M26" s="17" t="s">
        <v>16</v>
      </c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45">
      <c r="A27" s="7" t="s">
        <v>36</v>
      </c>
      <c r="B27" s="7"/>
      <c r="C27" s="7" t="s">
        <v>35</v>
      </c>
      <c r="D27" s="7"/>
      <c r="E27" s="7" t="s">
        <v>37</v>
      </c>
      <c r="F27" s="7"/>
      <c r="G27" s="7" t="s">
        <v>38</v>
      </c>
      <c r="H27" s="7"/>
      <c r="I27" s="7" t="s">
        <v>39</v>
      </c>
      <c r="J27" s="7"/>
      <c r="M27" s="7" t="s">
        <v>36</v>
      </c>
      <c r="N27" s="7"/>
      <c r="O27" s="7" t="s">
        <v>35</v>
      </c>
      <c r="P27" s="7"/>
      <c r="Q27" s="7" t="s">
        <v>37</v>
      </c>
      <c r="R27" s="7"/>
      <c r="S27" s="7" t="s">
        <v>38</v>
      </c>
      <c r="T27" s="7"/>
      <c r="U27" s="7" t="s">
        <v>39</v>
      </c>
      <c r="V27" s="7"/>
    </row>
    <row r="28" spans="1:22" x14ac:dyDescent="0.45">
      <c r="A28" s="7" t="s">
        <v>26</v>
      </c>
      <c r="B28" s="7" t="s">
        <v>27</v>
      </c>
      <c r="C28" s="7" t="s">
        <v>26</v>
      </c>
      <c r="D28" s="7" t="s">
        <v>27</v>
      </c>
      <c r="E28" s="7" t="s">
        <v>26</v>
      </c>
      <c r="F28" s="7" t="s">
        <v>27</v>
      </c>
      <c r="G28" s="7" t="s">
        <v>26</v>
      </c>
      <c r="H28" s="7" t="s">
        <v>27</v>
      </c>
      <c r="I28" s="7" t="s">
        <v>26</v>
      </c>
      <c r="J28" s="7" t="s">
        <v>27</v>
      </c>
      <c r="M28" s="7" t="s">
        <v>26</v>
      </c>
      <c r="N28" s="7" t="s">
        <v>27</v>
      </c>
      <c r="O28" s="7" t="s">
        <v>26</v>
      </c>
      <c r="P28" s="7" t="s">
        <v>27</v>
      </c>
      <c r="Q28" s="7" t="s">
        <v>26</v>
      </c>
      <c r="R28" s="7" t="s">
        <v>27</v>
      </c>
      <c r="S28" s="7" t="s">
        <v>26</v>
      </c>
      <c r="T28" s="7" t="s">
        <v>27</v>
      </c>
      <c r="U28" s="7" t="s">
        <v>26</v>
      </c>
      <c r="V28" s="7" t="s">
        <v>27</v>
      </c>
    </row>
    <row r="29" spans="1:22" x14ac:dyDescent="0.45">
      <c r="A29" s="10">
        <v>0.25</v>
      </c>
      <c r="B29" s="11">
        <v>5.3777199999999997E-2</v>
      </c>
      <c r="C29" s="10">
        <v>2.7799999999999999E-3</v>
      </c>
      <c r="D29" s="11">
        <v>3.6898E-2</v>
      </c>
      <c r="E29" s="10">
        <v>2.7799999999999999E-3</v>
      </c>
      <c r="F29" s="11">
        <v>-1.2999999999999999E-4</v>
      </c>
      <c r="G29" s="10">
        <v>2.7799999999999999E-3</v>
      </c>
      <c r="H29" s="11">
        <v>4.6833E-2</v>
      </c>
      <c r="I29" s="10">
        <v>2.7799999999999999E-3</v>
      </c>
      <c r="J29" s="11">
        <v>3.9539999999999999E-2</v>
      </c>
      <c r="M29" s="10">
        <v>0.25</v>
      </c>
      <c r="N29" s="11">
        <f>B29+0.0001</f>
        <v>5.38772E-2</v>
      </c>
      <c r="O29" s="10">
        <v>2.7799999999999999E-3</v>
      </c>
      <c r="P29" s="11">
        <f>D29+0.0001</f>
        <v>3.6998000000000003E-2</v>
      </c>
      <c r="Q29" s="10">
        <v>2.7799999999999999E-3</v>
      </c>
      <c r="R29" s="11">
        <f>F29+0.0001</f>
        <v>-2.9999999999999984E-5</v>
      </c>
      <c r="S29" s="10">
        <v>2.7799999999999999E-3</v>
      </c>
      <c r="T29" s="11">
        <f>H29+0.0001</f>
        <v>4.6933000000000002E-2</v>
      </c>
      <c r="U29" s="10">
        <v>2.7799999999999999E-3</v>
      </c>
      <c r="V29" s="11">
        <f>J29+0.0001</f>
        <v>3.9640000000000002E-2</v>
      </c>
    </row>
    <row r="30" spans="1:22" x14ac:dyDescent="0.45">
      <c r="A30" s="12">
        <v>0.5</v>
      </c>
      <c r="B30" s="13">
        <v>5.1838870000000002E-2</v>
      </c>
      <c r="C30" s="12">
        <v>0.25</v>
      </c>
      <c r="D30" s="13">
        <v>3.8102999999999998E-2</v>
      </c>
      <c r="E30" s="12">
        <v>0.25</v>
      </c>
      <c r="F30" s="13">
        <v>-8.6000000000000003E-5</v>
      </c>
      <c r="G30" s="12">
        <v>0.25</v>
      </c>
      <c r="H30" s="13">
        <v>5.2346999999999998E-2</v>
      </c>
      <c r="I30" s="12">
        <v>0.25</v>
      </c>
      <c r="J30" s="13">
        <v>3.9675000000000002E-2</v>
      </c>
      <c r="M30" s="12">
        <v>0.5</v>
      </c>
      <c r="N30" s="11">
        <f t="shared" ref="N30:N43" si="4">B30+0.0001</f>
        <v>5.1938870000000005E-2</v>
      </c>
      <c r="O30" s="12">
        <v>0.25</v>
      </c>
      <c r="P30" s="11">
        <f t="shared" ref="P30:P72" si="5">D30+0.0001</f>
        <v>3.8203000000000001E-2</v>
      </c>
      <c r="Q30" s="12">
        <v>0.25</v>
      </c>
      <c r="R30" s="11">
        <f t="shared" ref="R30:R70" si="6">F30+0.0001</f>
        <v>1.4000000000000001E-5</v>
      </c>
      <c r="S30" s="12">
        <v>0.25</v>
      </c>
      <c r="T30" s="11">
        <f t="shared" ref="T30:T69" si="7">H30+0.0001</f>
        <v>5.2447000000000001E-2</v>
      </c>
      <c r="U30" s="12">
        <v>0.25</v>
      </c>
      <c r="V30" s="11">
        <f t="shared" ref="V30:V70" si="8">J30+0.0001</f>
        <v>3.9775000000000005E-2</v>
      </c>
    </row>
    <row r="31" spans="1:22" x14ac:dyDescent="0.45">
      <c r="A31" s="12">
        <v>0.75</v>
      </c>
      <c r="B31" s="13">
        <v>4.9656249999999999E-2</v>
      </c>
      <c r="C31" s="12">
        <v>0.5</v>
      </c>
      <c r="D31" s="13">
        <v>3.6880000000000003E-2</v>
      </c>
      <c r="E31" s="12">
        <v>0.5</v>
      </c>
      <c r="F31" s="13">
        <v>1.4999999999999999E-4</v>
      </c>
      <c r="G31" s="12">
        <v>0.5</v>
      </c>
      <c r="H31" s="13">
        <v>4.8201000000000001E-2</v>
      </c>
      <c r="I31" s="12">
        <v>0.5</v>
      </c>
      <c r="J31" s="13">
        <v>3.9237000000000001E-2</v>
      </c>
      <c r="M31" s="12">
        <v>0.75</v>
      </c>
      <c r="N31" s="11">
        <f t="shared" si="4"/>
        <v>4.9756250000000002E-2</v>
      </c>
      <c r="O31" s="12">
        <v>0.5</v>
      </c>
      <c r="P31" s="11">
        <f t="shared" si="5"/>
        <v>3.6980000000000006E-2</v>
      </c>
      <c r="Q31" s="12">
        <v>0.5</v>
      </c>
      <c r="R31" s="11">
        <f t="shared" si="6"/>
        <v>2.5000000000000001E-4</v>
      </c>
      <c r="S31" s="12">
        <v>0.5</v>
      </c>
      <c r="T31" s="11">
        <f t="shared" si="7"/>
        <v>4.8301000000000004E-2</v>
      </c>
      <c r="U31" s="12">
        <v>0.5</v>
      </c>
      <c r="V31" s="11">
        <f t="shared" si="8"/>
        <v>3.9337000000000004E-2</v>
      </c>
    </row>
    <row r="32" spans="1:22" x14ac:dyDescent="0.45">
      <c r="A32" s="12">
        <v>1</v>
      </c>
      <c r="B32" s="13">
        <v>4.75427E-2</v>
      </c>
      <c r="C32" s="12">
        <v>0.75</v>
      </c>
      <c r="D32" s="13">
        <v>3.6066000000000001E-2</v>
      </c>
      <c r="E32" s="12">
        <v>0.75</v>
      </c>
      <c r="F32" s="13">
        <v>4.17E-4</v>
      </c>
      <c r="G32" s="12">
        <v>0.75</v>
      </c>
      <c r="H32" s="13">
        <v>4.5963999999999998E-2</v>
      </c>
      <c r="I32" s="12">
        <v>0.75</v>
      </c>
      <c r="J32" s="13">
        <v>3.6720999999999997E-2</v>
      </c>
      <c r="M32" s="12">
        <v>1</v>
      </c>
      <c r="N32" s="11">
        <f t="shared" si="4"/>
        <v>4.7642700000000003E-2</v>
      </c>
      <c r="O32" s="12">
        <v>0.75</v>
      </c>
      <c r="P32" s="11">
        <f t="shared" si="5"/>
        <v>3.6166000000000004E-2</v>
      </c>
      <c r="Q32" s="12">
        <v>0.75</v>
      </c>
      <c r="R32" s="11">
        <f t="shared" si="6"/>
        <v>5.1699999999999999E-4</v>
      </c>
      <c r="S32" s="12">
        <v>0.75</v>
      </c>
      <c r="T32" s="11">
        <f t="shared" si="7"/>
        <v>4.6064000000000001E-2</v>
      </c>
      <c r="U32" s="12">
        <v>0.75</v>
      </c>
      <c r="V32" s="11">
        <f t="shared" si="8"/>
        <v>3.6821E-2</v>
      </c>
    </row>
    <row r="33" spans="1:22" x14ac:dyDescent="0.45">
      <c r="A33" s="12">
        <v>1.5</v>
      </c>
      <c r="B33" s="13">
        <v>4.3687030000000002E-2</v>
      </c>
      <c r="C33" s="12">
        <v>1</v>
      </c>
      <c r="D33" s="13">
        <v>3.5160999999999998E-2</v>
      </c>
      <c r="E33" s="12">
        <v>1</v>
      </c>
      <c r="F33" s="13">
        <v>6.5600000000000001E-4</v>
      </c>
      <c r="G33" s="12">
        <v>1</v>
      </c>
      <c r="H33" s="13">
        <v>4.3723999999999999E-2</v>
      </c>
      <c r="I33" s="12">
        <v>1</v>
      </c>
      <c r="J33" s="13">
        <v>3.4181000000000003E-2</v>
      </c>
      <c r="M33" s="12">
        <v>1.5</v>
      </c>
      <c r="N33" s="11">
        <f t="shared" si="4"/>
        <v>4.3787030000000005E-2</v>
      </c>
      <c r="O33" s="12">
        <v>1</v>
      </c>
      <c r="P33" s="11">
        <f t="shared" si="5"/>
        <v>3.5261000000000001E-2</v>
      </c>
      <c r="Q33" s="12">
        <v>1</v>
      </c>
      <c r="R33" s="11">
        <f t="shared" si="6"/>
        <v>7.5600000000000005E-4</v>
      </c>
      <c r="S33" s="12">
        <v>1</v>
      </c>
      <c r="T33" s="11">
        <f t="shared" si="7"/>
        <v>4.3824000000000002E-2</v>
      </c>
      <c r="U33" s="12">
        <v>1</v>
      </c>
      <c r="V33" s="11">
        <f t="shared" si="8"/>
        <v>3.4281000000000006E-2</v>
      </c>
    </row>
    <row r="34" spans="1:22" x14ac:dyDescent="0.45">
      <c r="A34" s="12">
        <v>2</v>
      </c>
      <c r="B34" s="13">
        <v>4.0688349999999998E-2</v>
      </c>
      <c r="C34" s="12">
        <v>1.25</v>
      </c>
      <c r="D34" s="13">
        <v>4.428E-2</v>
      </c>
      <c r="E34" s="12">
        <v>1.25</v>
      </c>
      <c r="F34" s="13">
        <v>9.1799999999999998E-4</v>
      </c>
      <c r="G34" s="12">
        <v>1.25</v>
      </c>
      <c r="H34" s="13">
        <v>4.1859E-2</v>
      </c>
      <c r="I34" s="12">
        <v>1.25</v>
      </c>
      <c r="J34" s="13">
        <v>3.2046999999999999E-2</v>
      </c>
      <c r="M34" s="12">
        <v>2</v>
      </c>
      <c r="N34" s="11">
        <f t="shared" si="4"/>
        <v>4.0788350000000001E-2</v>
      </c>
      <c r="O34" s="12">
        <v>1.25</v>
      </c>
      <c r="P34" s="11">
        <f t="shared" si="5"/>
        <v>4.4380000000000003E-2</v>
      </c>
      <c r="Q34" s="12">
        <v>1.25</v>
      </c>
      <c r="R34" s="11">
        <f t="shared" si="6"/>
        <v>1.018E-3</v>
      </c>
      <c r="S34" s="12">
        <v>1.25</v>
      </c>
      <c r="T34" s="11">
        <f t="shared" si="7"/>
        <v>4.1959000000000003E-2</v>
      </c>
      <c r="U34" s="12">
        <v>1.25</v>
      </c>
      <c r="V34" s="11">
        <f t="shared" si="8"/>
        <v>3.2147000000000002E-2</v>
      </c>
    </row>
    <row r="35" spans="1:22" x14ac:dyDescent="0.45">
      <c r="A35" s="12">
        <v>2.5</v>
      </c>
      <c r="B35" s="13">
        <v>3.8692520000000001E-2</v>
      </c>
      <c r="C35" s="12">
        <v>1.5</v>
      </c>
      <c r="D35" s="13">
        <v>3.3697999999999999E-2</v>
      </c>
      <c r="E35" s="12">
        <v>1.5</v>
      </c>
      <c r="F35" s="13">
        <v>1.237E-3</v>
      </c>
      <c r="G35" s="12">
        <v>1.5</v>
      </c>
      <c r="H35" s="13">
        <v>4.0389000000000001E-2</v>
      </c>
      <c r="I35" s="12">
        <v>1.5</v>
      </c>
      <c r="J35" s="13">
        <v>3.0263000000000002E-2</v>
      </c>
      <c r="M35" s="12">
        <v>2.5</v>
      </c>
      <c r="N35" s="11">
        <f t="shared" si="4"/>
        <v>3.8792520000000004E-2</v>
      </c>
      <c r="O35" s="12">
        <v>1.5</v>
      </c>
      <c r="P35" s="11">
        <f t="shared" si="5"/>
        <v>3.3798000000000002E-2</v>
      </c>
      <c r="Q35" s="12">
        <v>1.5</v>
      </c>
      <c r="R35" s="11">
        <f t="shared" si="6"/>
        <v>1.3370000000000001E-3</v>
      </c>
      <c r="S35" s="12">
        <v>1.5</v>
      </c>
      <c r="T35" s="11">
        <f t="shared" si="7"/>
        <v>4.0489000000000004E-2</v>
      </c>
      <c r="U35" s="12">
        <v>1.5</v>
      </c>
      <c r="V35" s="11">
        <f t="shared" si="8"/>
        <v>3.0363000000000001E-2</v>
      </c>
    </row>
    <row r="36" spans="1:22" x14ac:dyDescent="0.45">
      <c r="A36" s="12">
        <v>3</v>
      </c>
      <c r="B36" s="13">
        <v>3.7335739999999999E-2</v>
      </c>
      <c r="C36" s="12">
        <v>1.75</v>
      </c>
      <c r="D36" s="13">
        <v>3.2965000000000001E-2</v>
      </c>
      <c r="E36" s="12">
        <v>1.75</v>
      </c>
      <c r="F36" s="13">
        <v>1.519E-3</v>
      </c>
      <c r="G36" s="12">
        <v>1.75</v>
      </c>
      <c r="H36" s="13">
        <v>3.9177999999999998E-2</v>
      </c>
      <c r="I36" s="12">
        <v>1.75</v>
      </c>
      <c r="J36" s="13">
        <v>2.8788000000000001E-2</v>
      </c>
      <c r="M36" s="12">
        <v>3</v>
      </c>
      <c r="N36" s="11">
        <f t="shared" si="4"/>
        <v>3.7435740000000002E-2</v>
      </c>
      <c r="O36" s="12">
        <v>1.75</v>
      </c>
      <c r="P36" s="11">
        <f t="shared" si="5"/>
        <v>3.3065000000000004E-2</v>
      </c>
      <c r="Q36" s="12">
        <v>1.75</v>
      </c>
      <c r="R36" s="11">
        <f t="shared" si="6"/>
        <v>1.619E-3</v>
      </c>
      <c r="S36" s="12">
        <v>1.75</v>
      </c>
      <c r="T36" s="11">
        <f t="shared" si="7"/>
        <v>3.9278E-2</v>
      </c>
      <c r="U36" s="12">
        <v>1.75</v>
      </c>
      <c r="V36" s="11">
        <f t="shared" si="8"/>
        <v>2.8888E-2</v>
      </c>
    </row>
    <row r="37" spans="1:22" x14ac:dyDescent="0.45">
      <c r="A37" s="12">
        <v>4</v>
      </c>
      <c r="B37" s="13">
        <v>3.5652450000000002E-2</v>
      </c>
      <c r="C37" s="12">
        <v>2</v>
      </c>
      <c r="D37" s="13">
        <v>3.2226999999999999E-2</v>
      </c>
      <c r="E37" s="12">
        <v>2</v>
      </c>
      <c r="F37" s="13">
        <v>1.771E-3</v>
      </c>
      <c r="G37" s="12">
        <v>2</v>
      </c>
      <c r="H37" s="13">
        <v>3.8158999999999998E-2</v>
      </c>
      <c r="I37" s="12">
        <v>2</v>
      </c>
      <c r="J37" s="13">
        <v>2.7601000000000001E-2</v>
      </c>
      <c r="M37" s="12">
        <v>4</v>
      </c>
      <c r="N37" s="11">
        <f t="shared" si="4"/>
        <v>3.5752450000000005E-2</v>
      </c>
      <c r="O37" s="12">
        <v>2</v>
      </c>
      <c r="P37" s="11">
        <f t="shared" si="5"/>
        <v>3.2327000000000002E-2</v>
      </c>
      <c r="Q37" s="12">
        <v>2</v>
      </c>
      <c r="R37" s="11">
        <f t="shared" si="6"/>
        <v>1.8710000000000001E-3</v>
      </c>
      <c r="S37" s="12">
        <v>2</v>
      </c>
      <c r="T37" s="11">
        <f t="shared" si="7"/>
        <v>3.8259000000000001E-2</v>
      </c>
      <c r="U37" s="12">
        <v>2</v>
      </c>
      <c r="V37" s="11">
        <f t="shared" si="8"/>
        <v>2.7701E-2</v>
      </c>
    </row>
    <row r="38" spans="1:22" x14ac:dyDescent="0.45">
      <c r="A38" s="12">
        <v>5</v>
      </c>
      <c r="B38" s="13">
        <v>3.475905E-2</v>
      </c>
      <c r="C38" s="12">
        <v>2.25</v>
      </c>
      <c r="D38" s="13">
        <v>3.1843999999999997E-2</v>
      </c>
      <c r="E38" s="12">
        <v>2.25</v>
      </c>
      <c r="F38" s="13">
        <v>2.0070000000000001E-3</v>
      </c>
      <c r="G38" s="12">
        <v>2.25</v>
      </c>
      <c r="H38" s="13">
        <v>3.7294000000000001E-2</v>
      </c>
      <c r="I38" s="12">
        <v>2.25</v>
      </c>
      <c r="J38" s="13">
        <v>2.6681E-2</v>
      </c>
      <c r="M38" s="12">
        <v>5</v>
      </c>
      <c r="N38" s="11">
        <f t="shared" si="4"/>
        <v>3.4859050000000003E-2</v>
      </c>
      <c r="O38" s="12">
        <v>2.25</v>
      </c>
      <c r="P38" s="11">
        <f t="shared" si="5"/>
        <v>3.1944E-2</v>
      </c>
      <c r="Q38" s="12">
        <v>2.25</v>
      </c>
      <c r="R38" s="11">
        <f t="shared" si="6"/>
        <v>2.1069999999999999E-3</v>
      </c>
      <c r="S38" s="12">
        <v>2.25</v>
      </c>
      <c r="T38" s="11">
        <f t="shared" si="7"/>
        <v>3.7394000000000004E-2</v>
      </c>
      <c r="U38" s="12">
        <v>2.25</v>
      </c>
      <c r="V38" s="11">
        <f t="shared" si="8"/>
        <v>2.6780999999999999E-2</v>
      </c>
    </row>
    <row r="39" spans="1:22" x14ac:dyDescent="0.45">
      <c r="A39" s="12">
        <v>7</v>
      </c>
      <c r="B39" s="13">
        <v>3.4076500000000003E-2</v>
      </c>
      <c r="C39" s="12">
        <v>2.5</v>
      </c>
      <c r="D39" s="13">
        <v>3.1465E-2</v>
      </c>
      <c r="E39" s="12">
        <v>2.5</v>
      </c>
      <c r="F39" s="13">
        <v>2.2300000000000002E-3</v>
      </c>
      <c r="G39" s="12">
        <v>2.5</v>
      </c>
      <c r="H39" s="13">
        <v>3.6555999999999998E-2</v>
      </c>
      <c r="I39" s="12">
        <v>2.5</v>
      </c>
      <c r="J39" s="13">
        <v>2.5961000000000001E-2</v>
      </c>
      <c r="M39" s="12">
        <v>7</v>
      </c>
      <c r="N39" s="11">
        <f t="shared" si="4"/>
        <v>3.4176500000000005E-2</v>
      </c>
      <c r="O39" s="12">
        <v>2.5</v>
      </c>
      <c r="P39" s="11">
        <f t="shared" si="5"/>
        <v>3.1565000000000003E-2</v>
      </c>
      <c r="Q39" s="12">
        <v>2.5</v>
      </c>
      <c r="R39" s="11">
        <f t="shared" si="6"/>
        <v>2.33E-3</v>
      </c>
      <c r="S39" s="12">
        <v>2.5</v>
      </c>
      <c r="T39" s="11">
        <f t="shared" si="7"/>
        <v>3.6656000000000001E-2</v>
      </c>
      <c r="U39" s="12">
        <v>2.5</v>
      </c>
      <c r="V39" s="11">
        <f t="shared" si="8"/>
        <v>2.6061000000000001E-2</v>
      </c>
    </row>
    <row r="40" spans="1:22" x14ac:dyDescent="0.45">
      <c r="A40" s="12">
        <v>10</v>
      </c>
      <c r="B40" s="13">
        <v>3.3989569999999997E-2</v>
      </c>
      <c r="C40" s="12">
        <v>2.75</v>
      </c>
      <c r="D40" s="13">
        <v>3.1085999999999999E-2</v>
      </c>
      <c r="E40" s="12">
        <v>2.75</v>
      </c>
      <c r="F40" s="13">
        <v>2.4450000000000001E-3</v>
      </c>
      <c r="G40" s="12">
        <v>2.75</v>
      </c>
      <c r="H40" s="13">
        <v>3.5929000000000003E-2</v>
      </c>
      <c r="I40" s="12">
        <v>2.75</v>
      </c>
      <c r="J40" s="13">
        <v>2.5387E-2</v>
      </c>
      <c r="M40" s="12">
        <v>10</v>
      </c>
      <c r="N40" s="11">
        <f t="shared" si="4"/>
        <v>3.408957E-2</v>
      </c>
      <c r="O40" s="12">
        <v>2.75</v>
      </c>
      <c r="P40" s="11">
        <f t="shared" si="5"/>
        <v>3.1185999999999998E-2</v>
      </c>
      <c r="Q40" s="12">
        <v>2.75</v>
      </c>
      <c r="R40" s="11">
        <f t="shared" si="6"/>
        <v>2.545E-3</v>
      </c>
      <c r="S40" s="12">
        <v>2.75</v>
      </c>
      <c r="T40" s="11">
        <f t="shared" si="7"/>
        <v>3.6029000000000005E-2</v>
      </c>
      <c r="U40" s="12">
        <v>2.75</v>
      </c>
      <c r="V40" s="11">
        <f t="shared" si="8"/>
        <v>2.5486999999999999E-2</v>
      </c>
    </row>
    <row r="41" spans="1:22" x14ac:dyDescent="0.45">
      <c r="A41" s="12">
        <v>15</v>
      </c>
      <c r="B41" s="13">
        <v>3.4383999999999998E-2</v>
      </c>
      <c r="C41" s="12">
        <v>3</v>
      </c>
      <c r="D41" s="13">
        <v>3.0703999999999999E-2</v>
      </c>
      <c r="E41" s="12">
        <v>3</v>
      </c>
      <c r="F41" s="13">
        <v>2.6519999999999998E-3</v>
      </c>
      <c r="G41" s="12">
        <v>3</v>
      </c>
      <c r="H41" s="13">
        <v>3.5401000000000002E-2</v>
      </c>
      <c r="I41" s="12">
        <v>3</v>
      </c>
      <c r="J41" s="13">
        <v>2.4920999999999999E-2</v>
      </c>
      <c r="M41" s="12">
        <v>15</v>
      </c>
      <c r="N41" s="11">
        <f t="shared" si="4"/>
        <v>3.4484000000000001E-2</v>
      </c>
      <c r="O41" s="12">
        <v>3</v>
      </c>
      <c r="P41" s="11">
        <f t="shared" si="5"/>
        <v>3.0803999999999998E-2</v>
      </c>
      <c r="Q41" s="12">
        <v>3</v>
      </c>
      <c r="R41" s="11">
        <f t="shared" si="6"/>
        <v>2.7519999999999997E-3</v>
      </c>
      <c r="S41" s="12">
        <v>3</v>
      </c>
      <c r="T41" s="11">
        <f t="shared" si="7"/>
        <v>3.5501000000000005E-2</v>
      </c>
      <c r="U41" s="12">
        <v>3</v>
      </c>
      <c r="V41" s="11">
        <f t="shared" si="8"/>
        <v>2.5020999999999998E-2</v>
      </c>
    </row>
    <row r="42" spans="1:22" x14ac:dyDescent="0.45">
      <c r="A42" s="12">
        <v>20</v>
      </c>
      <c r="B42" s="13">
        <v>3.4113089999999999E-2</v>
      </c>
      <c r="C42" s="12">
        <v>3.25</v>
      </c>
      <c r="D42" s="13">
        <v>3.0589000000000002E-2</v>
      </c>
      <c r="E42" s="12">
        <v>3.25</v>
      </c>
      <c r="F42" s="13">
        <v>2.8530000000000001E-3</v>
      </c>
      <c r="G42" s="12">
        <v>3.25</v>
      </c>
      <c r="H42" s="13">
        <v>3.4963000000000001E-2</v>
      </c>
      <c r="I42" s="12">
        <v>3.25</v>
      </c>
      <c r="J42" s="13">
        <v>2.4538999999999998E-2</v>
      </c>
      <c r="M42" s="12">
        <v>20</v>
      </c>
      <c r="N42" s="11">
        <f t="shared" si="4"/>
        <v>3.4213090000000002E-2</v>
      </c>
      <c r="O42" s="12">
        <v>3.25</v>
      </c>
      <c r="P42" s="11">
        <f t="shared" si="5"/>
        <v>3.0689000000000001E-2</v>
      </c>
      <c r="Q42" s="12">
        <v>3.25</v>
      </c>
      <c r="R42" s="11">
        <f t="shared" si="6"/>
        <v>2.9529999999999999E-3</v>
      </c>
      <c r="S42" s="12">
        <v>3.25</v>
      </c>
      <c r="T42" s="11">
        <f t="shared" si="7"/>
        <v>3.5063000000000004E-2</v>
      </c>
      <c r="U42" s="12">
        <v>3.25</v>
      </c>
      <c r="V42" s="11">
        <f t="shared" si="8"/>
        <v>2.4638999999999998E-2</v>
      </c>
    </row>
    <row r="43" spans="1:22" x14ac:dyDescent="0.45">
      <c r="A43" s="12">
        <v>30</v>
      </c>
      <c r="B43" s="13">
        <v>3.1739000000000003E-2</v>
      </c>
      <c r="C43" s="12">
        <v>3.5</v>
      </c>
      <c r="D43" s="13">
        <v>3.0478000000000002E-2</v>
      </c>
      <c r="E43" s="12">
        <v>3.5</v>
      </c>
      <c r="F43" s="13">
        <v>3.0500000000000002E-3</v>
      </c>
      <c r="G43" s="12">
        <v>3.5</v>
      </c>
      <c r="H43" s="13">
        <v>3.4597999999999997E-2</v>
      </c>
      <c r="I43" s="12">
        <v>3.5</v>
      </c>
      <c r="J43" s="13">
        <v>2.4223000000000001E-2</v>
      </c>
      <c r="M43" s="12">
        <v>30</v>
      </c>
      <c r="N43" s="11">
        <f t="shared" si="4"/>
        <v>3.1839000000000006E-2</v>
      </c>
      <c r="O43" s="12">
        <v>3.5</v>
      </c>
      <c r="P43" s="11">
        <f t="shared" si="5"/>
        <v>3.0578000000000001E-2</v>
      </c>
      <c r="Q43" s="12">
        <v>3.5</v>
      </c>
      <c r="R43" s="11">
        <f t="shared" si="6"/>
        <v>3.15E-3</v>
      </c>
      <c r="S43" s="12">
        <v>3.5</v>
      </c>
      <c r="T43" s="11">
        <f t="shared" si="7"/>
        <v>3.4698E-2</v>
      </c>
      <c r="U43" s="12">
        <v>3.5</v>
      </c>
      <c r="V43" s="11">
        <f t="shared" si="8"/>
        <v>2.4323000000000001E-2</v>
      </c>
    </row>
    <row r="44" spans="1:22" x14ac:dyDescent="0.45">
      <c r="A44" s="12"/>
      <c r="B44" s="13"/>
      <c r="C44" s="12">
        <v>3.75</v>
      </c>
      <c r="D44" s="13">
        <v>3.0366000000000001E-2</v>
      </c>
      <c r="E44" s="12">
        <v>3.75</v>
      </c>
      <c r="F44" s="13">
        <v>3.2450000000000001E-3</v>
      </c>
      <c r="G44" s="12">
        <v>3.75</v>
      </c>
      <c r="H44" s="13">
        <v>3.4292999999999997E-2</v>
      </c>
      <c r="I44" s="12">
        <v>3.75</v>
      </c>
      <c r="J44" s="13">
        <v>2.3961E-2</v>
      </c>
      <c r="M44" s="12"/>
      <c r="N44" s="11"/>
      <c r="O44" s="12">
        <v>3.75</v>
      </c>
      <c r="P44" s="11">
        <f t="shared" si="5"/>
        <v>3.0466E-2</v>
      </c>
      <c r="Q44" s="12">
        <v>3.75</v>
      </c>
      <c r="R44" s="11">
        <f t="shared" si="6"/>
        <v>3.3449999999999999E-3</v>
      </c>
      <c r="S44" s="12">
        <v>3.75</v>
      </c>
      <c r="T44" s="11">
        <f t="shared" si="7"/>
        <v>3.4393E-2</v>
      </c>
      <c r="U44" s="12">
        <v>3.75</v>
      </c>
      <c r="V44" s="11">
        <f t="shared" si="8"/>
        <v>2.4060999999999999E-2</v>
      </c>
    </row>
    <row r="45" spans="1:22" x14ac:dyDescent="0.45">
      <c r="A45" s="12"/>
      <c r="B45" s="13"/>
      <c r="C45" s="12">
        <v>4</v>
      </c>
      <c r="D45" s="13">
        <v>3.0255000000000001E-2</v>
      </c>
      <c r="E45" s="12">
        <v>4</v>
      </c>
      <c r="F45" s="13">
        <v>3.4420000000000002E-3</v>
      </c>
      <c r="G45" s="12">
        <v>4</v>
      </c>
      <c r="H45" s="13">
        <v>3.4035999999999997E-2</v>
      </c>
      <c r="I45" s="12">
        <v>4</v>
      </c>
      <c r="J45" s="13">
        <v>2.3741999999999999E-2</v>
      </c>
      <c r="M45" s="12"/>
      <c r="N45" s="11"/>
      <c r="O45" s="12">
        <v>4</v>
      </c>
      <c r="P45" s="11">
        <f t="shared" si="5"/>
        <v>3.0355E-2</v>
      </c>
      <c r="Q45" s="12">
        <v>4</v>
      </c>
      <c r="R45" s="11">
        <f t="shared" si="6"/>
        <v>3.542E-3</v>
      </c>
      <c r="S45" s="12">
        <v>4</v>
      </c>
      <c r="T45" s="11">
        <f t="shared" si="7"/>
        <v>3.4136E-2</v>
      </c>
      <c r="U45" s="12">
        <v>4</v>
      </c>
      <c r="V45" s="11">
        <f t="shared" si="8"/>
        <v>2.3841999999999999E-2</v>
      </c>
    </row>
    <row r="46" spans="1:22" x14ac:dyDescent="0.45">
      <c r="A46" s="12"/>
      <c r="B46" s="13"/>
      <c r="C46" s="12">
        <v>4.25</v>
      </c>
      <c r="D46" s="13">
        <v>3.0165999999999998E-2</v>
      </c>
      <c r="E46" s="12">
        <v>4.25</v>
      </c>
      <c r="F46" s="13">
        <v>3.6389999999999999E-3</v>
      </c>
      <c r="G46" s="12">
        <v>4.25</v>
      </c>
      <c r="H46" s="13">
        <v>3.3820000000000003E-2</v>
      </c>
      <c r="I46" s="12">
        <v>4.25</v>
      </c>
      <c r="J46" s="13">
        <v>2.3560000000000001E-2</v>
      </c>
      <c r="M46" s="12"/>
      <c r="N46" s="11"/>
      <c r="O46" s="12">
        <v>4.25</v>
      </c>
      <c r="P46" s="11">
        <f t="shared" si="5"/>
        <v>3.0265999999999998E-2</v>
      </c>
      <c r="Q46" s="12">
        <v>4.25</v>
      </c>
      <c r="R46" s="11">
        <f t="shared" si="6"/>
        <v>3.7389999999999997E-3</v>
      </c>
      <c r="S46" s="12">
        <v>4.25</v>
      </c>
      <c r="T46" s="11">
        <f t="shared" si="7"/>
        <v>3.3920000000000006E-2</v>
      </c>
      <c r="U46" s="12">
        <v>4.25</v>
      </c>
      <c r="V46" s="11">
        <f t="shared" si="8"/>
        <v>2.366E-2</v>
      </c>
    </row>
    <row r="47" spans="1:22" x14ac:dyDescent="0.45">
      <c r="A47" s="12"/>
      <c r="B47" s="13"/>
      <c r="C47" s="12">
        <v>4.5</v>
      </c>
      <c r="D47" s="13">
        <v>3.0079000000000002E-2</v>
      </c>
      <c r="E47" s="12">
        <v>4.5</v>
      </c>
      <c r="F47" s="13">
        <v>3.839E-3</v>
      </c>
      <c r="G47" s="12">
        <v>4.5</v>
      </c>
      <c r="H47" s="13">
        <v>3.3647999999999997E-2</v>
      </c>
      <c r="I47" s="12">
        <v>4.5</v>
      </c>
      <c r="J47" s="13">
        <v>2.3411999999999999E-2</v>
      </c>
      <c r="M47" s="12"/>
      <c r="N47" s="11"/>
      <c r="O47" s="12">
        <v>4.5</v>
      </c>
      <c r="P47" s="11">
        <f t="shared" si="5"/>
        <v>3.0179000000000001E-2</v>
      </c>
      <c r="Q47" s="12">
        <v>4.5</v>
      </c>
      <c r="R47" s="11">
        <f t="shared" si="6"/>
        <v>3.9389999999999998E-3</v>
      </c>
      <c r="S47" s="12">
        <v>4.5</v>
      </c>
      <c r="T47" s="11">
        <f t="shared" si="7"/>
        <v>3.3748E-2</v>
      </c>
      <c r="U47" s="12">
        <v>4.5</v>
      </c>
      <c r="V47" s="11">
        <f t="shared" si="8"/>
        <v>2.3511999999999998E-2</v>
      </c>
    </row>
    <row r="48" spans="1:22" x14ac:dyDescent="0.45">
      <c r="A48" s="12"/>
      <c r="B48" s="13"/>
      <c r="C48" s="12">
        <v>4.75</v>
      </c>
      <c r="D48" s="13">
        <v>2.9991E-2</v>
      </c>
      <c r="E48" s="12">
        <v>4.75</v>
      </c>
      <c r="F48" s="13">
        <v>4.0400000000000002E-3</v>
      </c>
      <c r="G48" s="12">
        <v>4.75</v>
      </c>
      <c r="H48" s="13">
        <v>3.5220000000000001E-2</v>
      </c>
      <c r="I48" s="12">
        <v>4.75</v>
      </c>
      <c r="J48" s="13">
        <v>2.3293000000000001E-2</v>
      </c>
      <c r="M48" s="12"/>
      <c r="N48" s="11"/>
      <c r="O48" s="12">
        <v>4.75</v>
      </c>
      <c r="P48" s="11">
        <f t="shared" si="5"/>
        <v>3.0091E-2</v>
      </c>
      <c r="Q48" s="12">
        <v>4.75</v>
      </c>
      <c r="R48" s="11">
        <f t="shared" si="6"/>
        <v>4.1400000000000005E-3</v>
      </c>
      <c r="S48" s="12">
        <v>4.75</v>
      </c>
      <c r="T48" s="11">
        <f t="shared" si="7"/>
        <v>3.5320000000000004E-2</v>
      </c>
      <c r="U48" s="12">
        <v>4.75</v>
      </c>
      <c r="V48" s="11">
        <f t="shared" si="8"/>
        <v>2.3393000000000001E-2</v>
      </c>
    </row>
    <row r="49" spans="1:22" x14ac:dyDescent="0.45">
      <c r="A49" s="12"/>
      <c r="B49" s="13"/>
      <c r="C49" s="12">
        <v>5</v>
      </c>
      <c r="D49" s="13">
        <v>2.9902999999999999E-2</v>
      </c>
      <c r="E49" s="12">
        <v>5</v>
      </c>
      <c r="F49" s="13">
        <v>4.2430000000000002E-3</v>
      </c>
      <c r="G49" s="12">
        <v>5</v>
      </c>
      <c r="H49" s="13">
        <v>3.3444000000000002E-2</v>
      </c>
      <c r="I49" s="12">
        <v>5</v>
      </c>
      <c r="J49" s="13">
        <v>2.3203999999999999E-2</v>
      </c>
      <c r="M49" s="12"/>
      <c r="N49" s="11"/>
      <c r="O49" s="12">
        <v>5</v>
      </c>
      <c r="P49" s="11">
        <f t="shared" si="5"/>
        <v>3.0002999999999998E-2</v>
      </c>
      <c r="Q49" s="12">
        <v>5</v>
      </c>
      <c r="R49" s="11">
        <f t="shared" si="6"/>
        <v>4.3430000000000005E-3</v>
      </c>
      <c r="S49" s="12">
        <v>5</v>
      </c>
      <c r="T49" s="11">
        <f t="shared" si="7"/>
        <v>3.3544000000000004E-2</v>
      </c>
      <c r="U49" s="12">
        <v>5</v>
      </c>
      <c r="V49" s="11">
        <f t="shared" si="8"/>
        <v>2.3303999999999998E-2</v>
      </c>
    </row>
    <row r="50" spans="1:22" x14ac:dyDescent="0.45">
      <c r="A50" s="12"/>
      <c r="B50" s="13"/>
      <c r="C50" s="12">
        <v>5.25</v>
      </c>
      <c r="D50" s="13">
        <v>2.9864999999999999E-2</v>
      </c>
      <c r="E50" s="12">
        <v>5.25</v>
      </c>
      <c r="F50" s="13">
        <v>4.4470000000000004E-3</v>
      </c>
      <c r="G50" s="12">
        <v>5.25</v>
      </c>
      <c r="H50" s="13">
        <v>3.3412999999999998E-2</v>
      </c>
      <c r="I50" s="12">
        <v>5.25</v>
      </c>
      <c r="J50" s="13">
        <v>2.3140000000000001E-2</v>
      </c>
      <c r="M50" s="12"/>
      <c r="N50" s="11"/>
      <c r="O50" s="12">
        <v>5.25</v>
      </c>
      <c r="P50" s="11">
        <f t="shared" si="5"/>
        <v>2.9964999999999999E-2</v>
      </c>
      <c r="Q50" s="12">
        <v>5.25</v>
      </c>
      <c r="R50" s="11">
        <f t="shared" si="6"/>
        <v>4.5470000000000007E-3</v>
      </c>
      <c r="S50" s="12">
        <v>5.25</v>
      </c>
      <c r="T50" s="11">
        <f t="shared" si="7"/>
        <v>3.3513000000000001E-2</v>
      </c>
      <c r="U50" s="12">
        <v>5.25</v>
      </c>
      <c r="V50" s="11">
        <f t="shared" si="8"/>
        <v>2.324E-2</v>
      </c>
    </row>
    <row r="51" spans="1:22" x14ac:dyDescent="0.45">
      <c r="A51" s="12"/>
      <c r="B51" s="13"/>
      <c r="C51" s="12">
        <v>5.5</v>
      </c>
      <c r="D51" s="13">
        <v>2.9853999999999999E-2</v>
      </c>
      <c r="E51" s="12">
        <v>5.5</v>
      </c>
      <c r="F51" s="13">
        <v>4.653E-3</v>
      </c>
      <c r="G51" s="12">
        <v>5.5</v>
      </c>
      <c r="H51" s="13">
        <v>3.4139999999999997E-2</v>
      </c>
      <c r="I51" s="12">
        <v>5.5</v>
      </c>
      <c r="J51" s="13">
        <v>2.3098E-2</v>
      </c>
      <c r="M51" s="12"/>
      <c r="N51" s="11"/>
      <c r="O51" s="12">
        <v>5.5</v>
      </c>
      <c r="P51" s="11">
        <f t="shared" si="5"/>
        <v>2.9953999999999998E-2</v>
      </c>
      <c r="Q51" s="12">
        <v>5.5</v>
      </c>
      <c r="R51" s="11">
        <f t="shared" si="6"/>
        <v>4.7530000000000003E-3</v>
      </c>
      <c r="S51" s="12">
        <v>5.5</v>
      </c>
      <c r="T51" s="11">
        <f t="shared" si="7"/>
        <v>3.424E-2</v>
      </c>
      <c r="U51" s="12">
        <v>5.5</v>
      </c>
      <c r="V51" s="11">
        <f t="shared" si="8"/>
        <v>2.3198E-2</v>
      </c>
    </row>
    <row r="52" spans="1:22" x14ac:dyDescent="0.45">
      <c r="A52" s="12"/>
      <c r="B52" s="13"/>
      <c r="C52" s="12">
        <v>5.75</v>
      </c>
      <c r="D52" s="13">
        <v>2.9832999999999998E-2</v>
      </c>
      <c r="E52" s="12">
        <v>5.75</v>
      </c>
      <c r="F52" s="13">
        <v>4.862E-3</v>
      </c>
      <c r="G52" s="12">
        <v>5.75</v>
      </c>
      <c r="H52" s="13">
        <v>3.3430000000000001E-2</v>
      </c>
      <c r="I52" s="12">
        <v>5.75</v>
      </c>
      <c r="J52" s="13">
        <v>2.3071000000000001E-2</v>
      </c>
      <c r="M52" s="12"/>
      <c r="N52" s="11"/>
      <c r="O52" s="12">
        <v>5.75</v>
      </c>
      <c r="P52" s="11">
        <f t="shared" si="5"/>
        <v>2.9932999999999998E-2</v>
      </c>
      <c r="Q52" s="12">
        <v>5.75</v>
      </c>
      <c r="R52" s="11">
        <f t="shared" si="6"/>
        <v>4.9620000000000003E-3</v>
      </c>
      <c r="S52" s="12">
        <v>5.75</v>
      </c>
      <c r="T52" s="11">
        <f t="shared" si="7"/>
        <v>3.3530000000000004E-2</v>
      </c>
      <c r="U52" s="12">
        <v>5.75</v>
      </c>
      <c r="V52" s="11">
        <f t="shared" si="8"/>
        <v>2.3171000000000001E-2</v>
      </c>
    </row>
    <row r="53" spans="1:22" x14ac:dyDescent="0.45">
      <c r="A53" s="12"/>
      <c r="B53" s="13"/>
      <c r="C53" s="12">
        <v>6</v>
      </c>
      <c r="D53" s="13">
        <v>2.9807E-2</v>
      </c>
      <c r="E53" s="12">
        <v>6</v>
      </c>
      <c r="F53" s="13">
        <v>5.0740000000000004E-3</v>
      </c>
      <c r="G53" s="12">
        <v>6</v>
      </c>
      <c r="H53" s="13">
        <v>3.3445999999999997E-2</v>
      </c>
      <c r="I53" s="12">
        <v>6</v>
      </c>
      <c r="J53" s="13">
        <v>2.3054000000000002E-2</v>
      </c>
      <c r="M53" s="12"/>
      <c r="N53" s="11"/>
      <c r="O53" s="12">
        <v>6</v>
      </c>
      <c r="P53" s="11">
        <f t="shared" si="5"/>
        <v>2.9907E-2</v>
      </c>
      <c r="Q53" s="12">
        <v>6</v>
      </c>
      <c r="R53" s="11">
        <f t="shared" si="6"/>
        <v>5.1740000000000006E-3</v>
      </c>
      <c r="S53" s="12">
        <v>6</v>
      </c>
      <c r="T53" s="11">
        <f t="shared" si="7"/>
        <v>3.3545999999999999E-2</v>
      </c>
      <c r="U53" s="12">
        <v>6</v>
      </c>
      <c r="V53" s="11">
        <f t="shared" si="8"/>
        <v>2.3154000000000001E-2</v>
      </c>
    </row>
    <row r="54" spans="1:22" x14ac:dyDescent="0.45">
      <c r="A54" s="12"/>
      <c r="B54" s="13"/>
      <c r="C54" s="12">
        <v>6.25</v>
      </c>
      <c r="D54" s="13">
        <v>2.9783E-2</v>
      </c>
      <c r="E54" s="12">
        <v>6.25</v>
      </c>
      <c r="F54" s="13">
        <v>5.2890000000000003E-3</v>
      </c>
      <c r="G54" s="12">
        <v>6.25</v>
      </c>
      <c r="H54" s="13">
        <v>3.3453999999999998E-2</v>
      </c>
      <c r="I54" s="12">
        <v>6.25</v>
      </c>
      <c r="J54" s="13">
        <v>2.3045E-2</v>
      </c>
      <c r="M54" s="12"/>
      <c r="N54" s="11"/>
      <c r="O54" s="12">
        <v>6.25</v>
      </c>
      <c r="P54" s="11">
        <f t="shared" si="5"/>
        <v>2.9883E-2</v>
      </c>
      <c r="Q54" s="12">
        <v>6.25</v>
      </c>
      <c r="R54" s="11">
        <f t="shared" si="6"/>
        <v>5.3890000000000006E-3</v>
      </c>
      <c r="S54" s="12">
        <v>6.25</v>
      </c>
      <c r="T54" s="11">
        <f t="shared" si="7"/>
        <v>3.3554E-2</v>
      </c>
      <c r="U54" s="12">
        <v>6.25</v>
      </c>
      <c r="V54" s="11">
        <f t="shared" si="8"/>
        <v>2.3144999999999999E-2</v>
      </c>
    </row>
    <row r="55" spans="1:22" x14ac:dyDescent="0.45">
      <c r="A55" s="12"/>
      <c r="B55" s="13"/>
      <c r="C55" s="12">
        <v>6.5</v>
      </c>
      <c r="D55" s="13">
        <v>2.9759000000000001E-2</v>
      </c>
      <c r="E55" s="12">
        <v>6.5</v>
      </c>
      <c r="F55" s="13">
        <v>5.5050000000000003E-3</v>
      </c>
      <c r="G55" s="12">
        <v>6.5</v>
      </c>
      <c r="H55" s="13">
        <v>3.4540000000000001E-2</v>
      </c>
      <c r="I55" s="12">
        <v>6.5</v>
      </c>
      <c r="J55" s="13">
        <v>2.3043000000000001E-2</v>
      </c>
      <c r="M55" s="12"/>
      <c r="N55" s="11"/>
      <c r="O55" s="12">
        <v>6.5</v>
      </c>
      <c r="P55" s="11">
        <f t="shared" si="5"/>
        <v>2.9859E-2</v>
      </c>
      <c r="Q55" s="12">
        <v>6.5</v>
      </c>
      <c r="R55" s="11">
        <f t="shared" si="6"/>
        <v>5.6050000000000006E-3</v>
      </c>
      <c r="S55" s="12">
        <v>6.5</v>
      </c>
      <c r="T55" s="11">
        <f t="shared" si="7"/>
        <v>3.4640000000000004E-2</v>
      </c>
      <c r="U55" s="12">
        <v>6.5</v>
      </c>
      <c r="V55" s="11">
        <f t="shared" si="8"/>
        <v>2.3143E-2</v>
      </c>
    </row>
    <row r="56" spans="1:22" x14ac:dyDescent="0.45">
      <c r="A56" s="12"/>
      <c r="B56" s="13"/>
      <c r="C56" s="12">
        <v>6.75</v>
      </c>
      <c r="D56" s="13">
        <v>2.9732000000000001E-2</v>
      </c>
      <c r="E56" s="12">
        <v>6.75</v>
      </c>
      <c r="F56" s="13">
        <v>5.7200000000000003E-3</v>
      </c>
      <c r="G56" s="12">
        <v>6.75</v>
      </c>
      <c r="H56" s="13">
        <v>3.3451000000000002E-2</v>
      </c>
      <c r="I56" s="12">
        <v>6.75</v>
      </c>
      <c r="J56" s="13">
        <v>2.3049E-2</v>
      </c>
      <c r="M56" s="12"/>
      <c r="N56" s="11"/>
      <c r="O56" s="12">
        <v>6.75</v>
      </c>
      <c r="P56" s="11">
        <f t="shared" si="5"/>
        <v>2.9832000000000001E-2</v>
      </c>
      <c r="Q56" s="12">
        <v>6.75</v>
      </c>
      <c r="R56" s="11">
        <f t="shared" si="6"/>
        <v>5.8200000000000005E-3</v>
      </c>
      <c r="S56" s="12">
        <v>6.75</v>
      </c>
      <c r="T56" s="11">
        <f t="shared" si="7"/>
        <v>3.3551000000000004E-2</v>
      </c>
      <c r="U56" s="12">
        <v>6.75</v>
      </c>
      <c r="V56" s="11">
        <f t="shared" si="8"/>
        <v>2.3148999999999999E-2</v>
      </c>
    </row>
    <row r="57" spans="1:22" x14ac:dyDescent="0.45">
      <c r="A57" s="12"/>
      <c r="B57" s="13"/>
      <c r="C57" s="12">
        <v>7</v>
      </c>
      <c r="D57" s="13">
        <v>2.9711999999999999E-2</v>
      </c>
      <c r="E57" s="12">
        <v>7</v>
      </c>
      <c r="F57" s="13">
        <v>5.9319999999999998E-3</v>
      </c>
      <c r="G57" s="12">
        <v>7</v>
      </c>
      <c r="H57" s="13">
        <v>3.3450000000000001E-2</v>
      </c>
      <c r="I57" s="12">
        <v>7</v>
      </c>
      <c r="J57" s="13">
        <v>2.3061999999999999E-2</v>
      </c>
      <c r="M57" s="12"/>
      <c r="N57" s="11"/>
      <c r="O57" s="12">
        <v>7</v>
      </c>
      <c r="P57" s="11">
        <f t="shared" si="5"/>
        <v>2.9811999999999998E-2</v>
      </c>
      <c r="Q57" s="12">
        <v>7</v>
      </c>
      <c r="R57" s="11">
        <f t="shared" si="6"/>
        <v>6.032E-3</v>
      </c>
      <c r="S57" s="12">
        <v>7</v>
      </c>
      <c r="T57" s="11">
        <f t="shared" si="7"/>
        <v>3.3550000000000003E-2</v>
      </c>
      <c r="U57" s="12">
        <v>7</v>
      </c>
      <c r="V57" s="11">
        <f t="shared" si="8"/>
        <v>2.3161999999999999E-2</v>
      </c>
    </row>
    <row r="58" spans="1:22" x14ac:dyDescent="0.45">
      <c r="A58" s="12"/>
      <c r="B58" s="13"/>
      <c r="C58" s="12">
        <v>7.25</v>
      </c>
      <c r="D58" s="13">
        <v>2.9708999999999999E-2</v>
      </c>
      <c r="E58" s="12">
        <v>7.25</v>
      </c>
      <c r="F58" s="13">
        <v>6.1380000000000002E-3</v>
      </c>
      <c r="G58" s="12">
        <v>7.25</v>
      </c>
      <c r="H58" s="13">
        <v>3.3453999999999998E-2</v>
      </c>
      <c r="I58" s="12">
        <v>7.25</v>
      </c>
      <c r="J58" s="13">
        <v>2.3082999999999999E-2</v>
      </c>
      <c r="M58" s="12"/>
      <c r="N58" s="11"/>
      <c r="O58" s="12">
        <v>7.25</v>
      </c>
      <c r="P58" s="11">
        <f t="shared" si="5"/>
        <v>2.9808999999999999E-2</v>
      </c>
      <c r="Q58" s="12">
        <v>7.25</v>
      </c>
      <c r="R58" s="11">
        <f t="shared" si="6"/>
        <v>6.2380000000000005E-3</v>
      </c>
      <c r="S58" s="12">
        <v>7.25</v>
      </c>
      <c r="T58" s="11">
        <f t="shared" si="7"/>
        <v>3.3554E-2</v>
      </c>
      <c r="U58" s="12">
        <v>7.25</v>
      </c>
      <c r="V58" s="11">
        <f t="shared" si="8"/>
        <v>2.3182999999999999E-2</v>
      </c>
    </row>
    <row r="59" spans="1:22" x14ac:dyDescent="0.45">
      <c r="A59" s="12"/>
      <c r="B59" s="13"/>
      <c r="C59" s="12">
        <v>7.5</v>
      </c>
      <c r="D59" s="13">
        <v>2.9718999999999999E-2</v>
      </c>
      <c r="E59" s="12">
        <v>7.5</v>
      </c>
      <c r="F59" s="13">
        <v>6.339E-3</v>
      </c>
      <c r="G59" s="12">
        <v>7.5</v>
      </c>
      <c r="H59" s="13">
        <v>3.3461999999999999E-2</v>
      </c>
      <c r="I59" s="12">
        <v>7.5</v>
      </c>
      <c r="J59" s="13">
        <v>2.3109000000000001E-2</v>
      </c>
      <c r="M59" s="12"/>
      <c r="N59" s="11"/>
      <c r="O59" s="12">
        <v>7.5</v>
      </c>
      <c r="P59" s="11">
        <f t="shared" si="5"/>
        <v>2.9818999999999998E-2</v>
      </c>
      <c r="Q59" s="12">
        <v>7.5</v>
      </c>
      <c r="R59" s="11">
        <f t="shared" si="6"/>
        <v>6.4390000000000003E-3</v>
      </c>
      <c r="S59" s="12">
        <v>7.5</v>
      </c>
      <c r="T59" s="11">
        <f t="shared" si="7"/>
        <v>3.3562000000000002E-2</v>
      </c>
      <c r="U59" s="12">
        <v>7.5</v>
      </c>
      <c r="V59" s="11">
        <f t="shared" si="8"/>
        <v>2.3209E-2</v>
      </c>
    </row>
    <row r="60" spans="1:22" x14ac:dyDescent="0.45">
      <c r="A60" s="12"/>
      <c r="B60" s="13"/>
      <c r="C60" s="12">
        <v>7.75</v>
      </c>
      <c r="D60" s="13">
        <v>2.9737E-2</v>
      </c>
      <c r="E60" s="12">
        <v>7.75</v>
      </c>
      <c r="F60" s="13">
        <v>6.535E-3</v>
      </c>
      <c r="G60" s="12">
        <v>7.75</v>
      </c>
      <c r="H60" s="13">
        <v>3.3473000000000003E-2</v>
      </c>
      <c r="I60" s="12">
        <v>7.75</v>
      </c>
      <c r="J60" s="13">
        <v>2.3137999999999999E-2</v>
      </c>
      <c r="M60" s="12"/>
      <c r="N60" s="11"/>
      <c r="O60" s="12">
        <v>7.75</v>
      </c>
      <c r="P60" s="11">
        <f t="shared" si="5"/>
        <v>2.9836999999999999E-2</v>
      </c>
      <c r="Q60" s="12">
        <v>7.75</v>
      </c>
      <c r="R60" s="11">
        <f t="shared" si="6"/>
        <v>6.6350000000000003E-3</v>
      </c>
      <c r="S60" s="12">
        <v>7.75</v>
      </c>
      <c r="T60" s="11">
        <f t="shared" si="7"/>
        <v>3.3573000000000006E-2</v>
      </c>
      <c r="U60" s="12">
        <v>7.75</v>
      </c>
      <c r="V60" s="11">
        <f t="shared" si="8"/>
        <v>2.3237999999999998E-2</v>
      </c>
    </row>
    <row r="61" spans="1:22" x14ac:dyDescent="0.45">
      <c r="A61" s="12"/>
      <c r="B61" s="13"/>
      <c r="C61" s="12">
        <v>8</v>
      </c>
      <c r="D61" s="13">
        <v>2.9755E-2</v>
      </c>
      <c r="E61" s="12">
        <v>8</v>
      </c>
      <c r="F61" s="13">
        <v>6.7250000000000001E-3</v>
      </c>
      <c r="G61" s="12">
        <v>8</v>
      </c>
      <c r="H61" s="13">
        <v>3.3485000000000001E-2</v>
      </c>
      <c r="I61" s="12">
        <v>8</v>
      </c>
      <c r="J61" s="13">
        <v>2.3165999999999999E-2</v>
      </c>
      <c r="M61" s="12"/>
      <c r="N61" s="11"/>
      <c r="O61" s="12">
        <v>8</v>
      </c>
      <c r="P61" s="11">
        <f t="shared" si="5"/>
        <v>2.9855E-2</v>
      </c>
      <c r="Q61" s="12">
        <v>8</v>
      </c>
      <c r="R61" s="11">
        <f t="shared" si="6"/>
        <v>6.8250000000000003E-3</v>
      </c>
      <c r="S61" s="12">
        <v>8</v>
      </c>
      <c r="T61" s="11">
        <f t="shared" si="7"/>
        <v>3.3585000000000004E-2</v>
      </c>
      <c r="U61" s="12">
        <v>8</v>
      </c>
      <c r="V61" s="11">
        <f t="shared" si="8"/>
        <v>2.3265999999999998E-2</v>
      </c>
    </row>
    <row r="62" spans="1:22" x14ac:dyDescent="0.45">
      <c r="A62" s="12"/>
      <c r="B62" s="13"/>
      <c r="C62" s="12">
        <v>8.25</v>
      </c>
      <c r="D62" s="13">
        <v>2.9711000000000001E-2</v>
      </c>
      <c r="E62" s="12">
        <v>8.25</v>
      </c>
      <c r="F62" s="13">
        <v>6.9090000000000002E-3</v>
      </c>
      <c r="G62" s="12">
        <v>8.25</v>
      </c>
      <c r="H62" s="13">
        <v>3.3495999999999998E-2</v>
      </c>
      <c r="I62" s="12">
        <v>8.25</v>
      </c>
      <c r="J62" s="13">
        <v>2.3192999999999998E-2</v>
      </c>
      <c r="M62" s="12"/>
      <c r="N62" s="11"/>
      <c r="O62" s="12">
        <v>8.25</v>
      </c>
      <c r="P62" s="11">
        <f t="shared" si="5"/>
        <v>2.9811000000000001E-2</v>
      </c>
      <c r="Q62" s="12">
        <v>8.25</v>
      </c>
      <c r="R62" s="11">
        <f t="shared" si="6"/>
        <v>7.0090000000000005E-3</v>
      </c>
      <c r="S62" s="12">
        <v>8.25</v>
      </c>
      <c r="T62" s="11">
        <f t="shared" si="7"/>
        <v>3.3596000000000001E-2</v>
      </c>
      <c r="U62" s="12">
        <v>8.25</v>
      </c>
      <c r="V62" s="11">
        <f t="shared" si="8"/>
        <v>2.3292999999999998E-2</v>
      </c>
    </row>
    <row r="63" spans="1:22" x14ac:dyDescent="0.45">
      <c r="A63" s="12"/>
      <c r="B63" s="13"/>
      <c r="C63" s="12">
        <v>8.5</v>
      </c>
      <c r="D63" s="13">
        <v>2.9781999999999999E-2</v>
      </c>
      <c r="E63" s="12">
        <v>8.5</v>
      </c>
      <c r="F63" s="13">
        <v>7.0889999999999998E-3</v>
      </c>
      <c r="G63" s="12">
        <v>8.5</v>
      </c>
      <c r="H63" s="13">
        <v>3.3507000000000002E-2</v>
      </c>
      <c r="I63" s="12">
        <v>8.5</v>
      </c>
      <c r="J63" s="13">
        <v>2.3220000000000001E-2</v>
      </c>
      <c r="M63" s="12"/>
      <c r="N63" s="11"/>
      <c r="O63" s="12">
        <v>8.5</v>
      </c>
      <c r="P63" s="11">
        <f t="shared" si="5"/>
        <v>2.9881999999999999E-2</v>
      </c>
      <c r="Q63" s="12">
        <v>8.5</v>
      </c>
      <c r="R63" s="11">
        <f t="shared" si="6"/>
        <v>7.1890000000000001E-3</v>
      </c>
      <c r="S63" s="12">
        <v>8.5</v>
      </c>
      <c r="T63" s="11">
        <f t="shared" si="7"/>
        <v>3.3607000000000005E-2</v>
      </c>
      <c r="U63" s="12">
        <v>8.5</v>
      </c>
      <c r="V63" s="11">
        <f t="shared" si="8"/>
        <v>2.332E-2</v>
      </c>
    </row>
    <row r="64" spans="1:22" x14ac:dyDescent="0.45">
      <c r="A64" s="12"/>
      <c r="B64" s="13"/>
      <c r="C64" s="12">
        <v>8.75</v>
      </c>
      <c r="D64" s="13">
        <v>2.9791999999999999E-2</v>
      </c>
      <c r="E64" s="12">
        <v>8.75</v>
      </c>
      <c r="F64" s="13">
        <v>7.2659999999999999E-3</v>
      </c>
      <c r="G64" s="12">
        <v>8.75</v>
      </c>
      <c r="H64" s="13">
        <v>3.3515000000000003E-2</v>
      </c>
      <c r="I64" s="12">
        <v>8.75</v>
      </c>
      <c r="J64" s="13">
        <v>2.325E-2</v>
      </c>
      <c r="M64" s="12"/>
      <c r="N64" s="11"/>
      <c r="O64" s="12">
        <v>8.75</v>
      </c>
      <c r="P64" s="11">
        <f t="shared" si="5"/>
        <v>2.9891999999999998E-2</v>
      </c>
      <c r="Q64" s="12">
        <v>8.75</v>
      </c>
      <c r="R64" s="11">
        <f t="shared" si="6"/>
        <v>7.3660000000000002E-3</v>
      </c>
      <c r="S64" s="12">
        <v>8.75</v>
      </c>
      <c r="T64" s="11">
        <f t="shared" si="7"/>
        <v>3.3615000000000006E-2</v>
      </c>
      <c r="U64" s="12">
        <v>8.75</v>
      </c>
      <c r="V64" s="11">
        <f t="shared" si="8"/>
        <v>2.3349999999999999E-2</v>
      </c>
    </row>
    <row r="65" spans="1:22" x14ac:dyDescent="0.45">
      <c r="A65" s="12"/>
      <c r="B65" s="13"/>
      <c r="C65" s="12">
        <v>9</v>
      </c>
      <c r="D65" s="13">
        <v>2.98E-2</v>
      </c>
      <c r="E65" s="12">
        <v>9</v>
      </c>
      <c r="F65" s="13">
        <v>7.4409999999999997E-3</v>
      </c>
      <c r="G65" s="12">
        <v>9</v>
      </c>
      <c r="H65" s="13">
        <v>3.3519E-2</v>
      </c>
      <c r="I65" s="12">
        <v>9</v>
      </c>
      <c r="J65" s="13">
        <v>2.3286000000000001E-2</v>
      </c>
      <c r="M65" s="12"/>
      <c r="N65" s="11"/>
      <c r="O65" s="12">
        <v>9</v>
      </c>
      <c r="P65" s="11">
        <f t="shared" si="5"/>
        <v>2.9899999999999999E-2</v>
      </c>
      <c r="Q65" s="12">
        <v>9</v>
      </c>
      <c r="R65" s="11">
        <f t="shared" si="6"/>
        <v>7.541E-3</v>
      </c>
      <c r="S65" s="12">
        <v>9</v>
      </c>
      <c r="T65" s="11">
        <f t="shared" si="7"/>
        <v>3.3619000000000003E-2</v>
      </c>
      <c r="U65" s="12">
        <v>9</v>
      </c>
      <c r="V65" s="11">
        <f t="shared" si="8"/>
        <v>2.3386000000000001E-2</v>
      </c>
    </row>
    <row r="66" spans="1:22" x14ac:dyDescent="0.45">
      <c r="A66" s="12"/>
      <c r="B66" s="13"/>
      <c r="C66" s="12">
        <v>9.25</v>
      </c>
      <c r="D66" s="13">
        <v>2.9808999999999999E-2</v>
      </c>
      <c r="E66" s="12">
        <v>9.25</v>
      </c>
      <c r="F66" s="13">
        <v>7.6150000000000002E-3</v>
      </c>
      <c r="G66" s="12">
        <v>9.25</v>
      </c>
      <c r="H66" s="13">
        <v>3.3520000000000001E-2</v>
      </c>
      <c r="I66" s="12">
        <v>9.25</v>
      </c>
      <c r="J66" s="13">
        <v>2.3328999999999999E-2</v>
      </c>
      <c r="M66" s="12"/>
      <c r="N66" s="11"/>
      <c r="O66" s="12">
        <v>9.25</v>
      </c>
      <c r="P66" s="11">
        <f t="shared" si="5"/>
        <v>2.9908999999999998E-2</v>
      </c>
      <c r="Q66" s="12">
        <v>9.25</v>
      </c>
      <c r="R66" s="11">
        <f t="shared" si="6"/>
        <v>7.7150000000000005E-3</v>
      </c>
      <c r="S66" s="12">
        <v>9.25</v>
      </c>
      <c r="T66" s="11">
        <f t="shared" si="7"/>
        <v>3.3620000000000004E-2</v>
      </c>
      <c r="U66" s="12">
        <v>9.25</v>
      </c>
      <c r="V66" s="11">
        <f t="shared" si="8"/>
        <v>2.3428999999999998E-2</v>
      </c>
    </row>
    <row r="67" spans="1:22" x14ac:dyDescent="0.45">
      <c r="A67" s="12"/>
      <c r="B67" s="13"/>
      <c r="C67" s="12">
        <v>9.5</v>
      </c>
      <c r="D67" s="13">
        <v>2.9818000000000001E-2</v>
      </c>
      <c r="E67" s="12">
        <v>9.5</v>
      </c>
      <c r="F67" s="13">
        <v>7.7879999999999998E-3</v>
      </c>
      <c r="G67" s="12">
        <v>9.5</v>
      </c>
      <c r="H67" s="13">
        <v>3.3522999999999997E-2</v>
      </c>
      <c r="I67" s="12">
        <v>9.5</v>
      </c>
      <c r="J67" s="13">
        <v>2.3377999999999999E-2</v>
      </c>
      <c r="M67" s="12"/>
      <c r="N67" s="11"/>
      <c r="O67" s="12">
        <v>9.5</v>
      </c>
      <c r="P67" s="11">
        <f t="shared" si="5"/>
        <v>2.9918E-2</v>
      </c>
      <c r="Q67" s="12">
        <v>9.5</v>
      </c>
      <c r="R67" s="11">
        <f t="shared" si="6"/>
        <v>7.8879999999999992E-3</v>
      </c>
      <c r="S67" s="12">
        <v>9.5</v>
      </c>
      <c r="T67" s="11">
        <f t="shared" si="7"/>
        <v>3.3623E-2</v>
      </c>
      <c r="U67" s="12">
        <v>9.5</v>
      </c>
      <c r="V67" s="11">
        <f t="shared" si="8"/>
        <v>2.3477999999999999E-2</v>
      </c>
    </row>
    <row r="68" spans="1:22" x14ac:dyDescent="0.45">
      <c r="A68" s="12"/>
      <c r="B68" s="13"/>
      <c r="C68" s="12">
        <v>9.75</v>
      </c>
      <c r="D68" s="13">
        <v>2.9829999999999999E-2</v>
      </c>
      <c r="E68" s="12">
        <v>9.75</v>
      </c>
      <c r="F68" s="13">
        <v>7.9570000000000005E-3</v>
      </c>
      <c r="G68" s="12">
        <v>9.75</v>
      </c>
      <c r="H68" s="13">
        <v>3.3531999999999999E-2</v>
      </c>
      <c r="I68" s="12">
        <v>9.75</v>
      </c>
      <c r="J68" s="13">
        <v>2.3431E-2</v>
      </c>
      <c r="M68" s="12"/>
      <c r="N68" s="11"/>
      <c r="O68" s="12">
        <v>9.75</v>
      </c>
      <c r="P68" s="11">
        <f t="shared" si="5"/>
        <v>2.9929999999999998E-2</v>
      </c>
      <c r="Q68" s="12">
        <v>9.75</v>
      </c>
      <c r="R68" s="11">
        <f t="shared" si="6"/>
        <v>8.0569999999999999E-3</v>
      </c>
      <c r="S68" s="12">
        <v>9.75</v>
      </c>
      <c r="T68" s="11">
        <f t="shared" si="7"/>
        <v>3.3632000000000002E-2</v>
      </c>
      <c r="U68" s="12">
        <v>9.75</v>
      </c>
      <c r="V68" s="11">
        <f t="shared" si="8"/>
        <v>2.3531E-2</v>
      </c>
    </row>
    <row r="69" spans="1:22" x14ac:dyDescent="0.45">
      <c r="A69" s="12"/>
      <c r="B69" s="13"/>
      <c r="C69" s="12">
        <v>10</v>
      </c>
      <c r="D69" s="13">
        <v>2.9845E-2</v>
      </c>
      <c r="E69" s="12">
        <v>10</v>
      </c>
      <c r="F69" s="13">
        <v>8.1239999999999993E-3</v>
      </c>
      <c r="G69" s="12">
        <v>10</v>
      </c>
      <c r="H69" s="13">
        <v>3.3552999999999999E-2</v>
      </c>
      <c r="I69" s="12">
        <v>10</v>
      </c>
      <c r="J69" s="13">
        <v>2.3486E-2</v>
      </c>
      <c r="M69" s="12"/>
      <c r="N69" s="11"/>
      <c r="O69" s="12">
        <v>10</v>
      </c>
      <c r="P69" s="11">
        <f t="shared" si="5"/>
        <v>2.9944999999999999E-2</v>
      </c>
      <c r="Q69" s="12">
        <v>10</v>
      </c>
      <c r="R69" s="11">
        <f t="shared" si="6"/>
        <v>8.2239999999999987E-3</v>
      </c>
      <c r="S69" s="12">
        <v>10</v>
      </c>
      <c r="T69" s="11">
        <f t="shared" si="7"/>
        <v>3.3653000000000002E-2</v>
      </c>
      <c r="U69" s="12">
        <v>10</v>
      </c>
      <c r="V69" s="11">
        <f t="shared" si="8"/>
        <v>2.3585999999999999E-2</v>
      </c>
    </row>
    <row r="70" spans="1:22" x14ac:dyDescent="0.45">
      <c r="A70" s="12"/>
      <c r="B70" s="13"/>
      <c r="C70" s="12">
        <v>12</v>
      </c>
      <c r="D70" s="13">
        <v>3.0054000000000001E-2</v>
      </c>
      <c r="E70" s="12">
        <v>20</v>
      </c>
      <c r="F70" s="13">
        <v>1.346259E-2</v>
      </c>
      <c r="G70" s="12"/>
      <c r="H70" s="13"/>
      <c r="I70" s="12">
        <v>20</v>
      </c>
      <c r="J70" s="13">
        <v>2.3756349999999999E-2</v>
      </c>
      <c r="M70" s="12"/>
      <c r="N70" s="11"/>
      <c r="O70" s="12">
        <v>12</v>
      </c>
      <c r="P70" s="11">
        <f t="shared" si="5"/>
        <v>3.0154E-2</v>
      </c>
      <c r="Q70" s="12">
        <v>20</v>
      </c>
      <c r="R70" s="11">
        <f t="shared" si="6"/>
        <v>1.3562589999999999E-2</v>
      </c>
      <c r="S70" s="12"/>
      <c r="T70" s="11"/>
      <c r="U70" s="12">
        <v>20</v>
      </c>
      <c r="V70" s="11">
        <f t="shared" si="8"/>
        <v>2.3856349999999998E-2</v>
      </c>
    </row>
    <row r="71" spans="1:22" x14ac:dyDescent="0.45">
      <c r="A71" s="12"/>
      <c r="B71" s="13"/>
      <c r="C71" s="12">
        <v>15</v>
      </c>
      <c r="D71" s="13">
        <v>3.0178E-2</v>
      </c>
      <c r="E71" s="12"/>
      <c r="F71" s="13"/>
      <c r="G71" s="12"/>
      <c r="H71" s="13"/>
      <c r="I71" s="12"/>
      <c r="J71" s="13"/>
      <c r="M71" s="12"/>
      <c r="N71" s="11"/>
      <c r="O71" s="12">
        <v>15</v>
      </c>
      <c r="P71" s="11">
        <f t="shared" si="5"/>
        <v>3.0277999999999999E-2</v>
      </c>
      <c r="Q71" s="12"/>
      <c r="R71" s="11"/>
      <c r="S71" s="12"/>
      <c r="T71" s="11"/>
      <c r="U71" s="12"/>
      <c r="V71" s="11"/>
    </row>
    <row r="72" spans="1:22" x14ac:dyDescent="0.45">
      <c r="A72" s="14"/>
      <c r="B72" s="15"/>
      <c r="C72" s="14">
        <v>20</v>
      </c>
      <c r="D72" s="15">
        <v>2.9733119999999998E-2</v>
      </c>
      <c r="E72" s="14"/>
      <c r="F72" s="15"/>
      <c r="G72" s="14"/>
      <c r="H72" s="15"/>
      <c r="I72" s="14"/>
      <c r="J72" s="15"/>
      <c r="M72" s="14"/>
      <c r="N72" s="11"/>
      <c r="O72" s="14">
        <v>20</v>
      </c>
      <c r="P72" s="11">
        <f t="shared" si="5"/>
        <v>2.9833119999999998E-2</v>
      </c>
      <c r="Q72" s="14"/>
      <c r="R72" s="11"/>
      <c r="S72" s="14"/>
      <c r="T72" s="11"/>
      <c r="U72" s="14"/>
      <c r="V72" s="11"/>
    </row>
    <row r="75" spans="1:22" x14ac:dyDescent="0.45">
      <c r="A75" s="5" t="s">
        <v>28</v>
      </c>
    </row>
    <row r="76" spans="1:22" x14ac:dyDescent="0.45">
      <c r="A76" s="7" t="s">
        <v>29</v>
      </c>
      <c r="B76" s="7"/>
      <c r="C76" s="7"/>
      <c r="D76" s="7"/>
      <c r="E76" s="7"/>
      <c r="F76" s="7"/>
      <c r="G76" s="7"/>
      <c r="H76" s="7"/>
      <c r="I76" s="7"/>
      <c r="J76" s="7"/>
    </row>
    <row r="77" spans="1:22" x14ac:dyDescent="0.45">
      <c r="A77" s="7" t="s">
        <v>30</v>
      </c>
      <c r="B77" s="7" t="s">
        <v>31</v>
      </c>
      <c r="C77" s="7"/>
      <c r="D77" s="7"/>
      <c r="E77" s="7"/>
      <c r="F77" s="7"/>
      <c r="G77" s="7"/>
      <c r="H77" s="7"/>
      <c r="I77" s="7"/>
      <c r="J77" s="7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Market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2024-01-30T00:36:12Z</dcterms:created>
  <dcterms:modified xsi:type="dcterms:W3CDTF">2024-01-31T04:39:10Z</dcterms:modified>
</cp:coreProperties>
</file>